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LCOLLINS GEO-TECH\Desktop\Decode_Labs\"/>
    </mc:Choice>
  </mc:AlternateContent>
  <xr:revisionPtr revIDLastSave="0" documentId="8_{98AEB73C-D12D-4734-9BB8-22BC55A324A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shboard" sheetId="7" r:id="rId1"/>
    <sheet name="Charts" sheetId="8" r:id="rId2"/>
    <sheet name="Pivot Tables" sheetId="6" r:id="rId3"/>
    <sheet name="Descriptive Statistics" sheetId="4" r:id="rId4"/>
    <sheet name="Cleaned Dataset" sheetId="2" r:id="rId5"/>
    <sheet name="Raw Data" sheetId="1" r:id="rId6"/>
    <sheet name="Action Log" sheetId="3" r:id="rId7"/>
  </sheets>
  <definedNames>
    <definedName name="_xlchart.v1.0" hidden="1">'Cleaned Dataset'!$N$2:$N$1201</definedName>
    <definedName name="_xlcn.WorksheetConnection_DatasetforDataAnalytics.xlsxTable1_11" hidden="1">Table1_1[]</definedName>
    <definedName name="ExternalData_1" localSheetId="4" hidden="1">'Cleaned Dataset'!$A$1:$N$1201</definedName>
  </definedNames>
  <calcPr calcId="191029"/>
  <pivotCaches>
    <pivotCache cacheId="40" r:id="rId8"/>
    <pivotCache cacheId="41" r:id="rId9"/>
    <pivotCache cacheId="42" r:id="rId10"/>
    <pivotCache cacheId="43" r:id="rId11"/>
    <pivotCache cacheId="44" r:id="rId12"/>
    <pivotCache cacheId="45" r:id="rId13"/>
    <pivotCache cacheId="46" r:id="rId14"/>
    <pivotCache cacheId="47" r:id="rId15"/>
    <pivotCache cacheId="48" r:id="rId16"/>
    <pivotCache cacheId="49" r:id="rId17"/>
    <pivotCache cacheId="50" r:id="rId18"/>
    <pivotCache cacheId="51" r:id="rId19"/>
    <pivotCache cacheId="52" r:id="rId20"/>
    <pivotCache cacheId="53" r:id="rId21"/>
    <pivotCache cacheId="61" r:id="rId22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Dataset for Data Analytics.xlsx!Table1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E17" i="4"/>
  <c r="E16" i="4"/>
  <c r="E15" i="4"/>
  <c r="B15" i="4"/>
  <c r="B16" i="4"/>
  <c r="B17" i="4"/>
  <c r="B18" i="4" l="1"/>
  <c r="B20" i="4" s="1"/>
  <c r="E18" i="4"/>
  <c r="E20" i="4" s="1"/>
  <c r="H18" i="4"/>
  <c r="H19" i="4" s="1"/>
  <c r="B19" i="4" l="1"/>
  <c r="H20" i="4"/>
  <c r="E1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848D4-C34A-4A2F-8825-74A8BA296DF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EE2D8CA-F7C0-4121-AA8D-4096C206EE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307450A-2901-48C3-9B7C-503BBD345264}" name="WorksheetConnection_Dataset for Data Analytics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DatasetforDataAnalytics.xlsxTable1_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1_1].[CouponCode].&amp;[No Coupon]}"/>
    <s v="{[Table1_1].[CouponCode].&amp;[SAVE10],[Table1_1].[CouponCode].&amp;[FREESHIP],[Table1_1].[CouponCode].&amp;[WINTER1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<sst xmlns="http://schemas.openxmlformats.org/spreadsheetml/2006/main" count="21869" uniqueCount="4379">
  <si>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</si>
  <si>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</si>
  <si>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</si>
  <si>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</si>
  <si>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</si>
  <si>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</si>
  <si>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</si>
  <si>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</si>
  <si>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</si>
  <si>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</si>
  <si>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</si>
  <si>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</si>
  <si>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</si>
  <si>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</si>
  <si>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</si>
  <si>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</si>
  <si>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</si>
  <si>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</si>
  <si>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</si>
  <si>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</si>
  <si>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</si>
  <si>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</si>
  <si>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</si>
  <si>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</si>
  <si>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</si>
  <si>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</si>
  <si>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</si>
  <si>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</si>
  <si>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</si>
  <si>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</si>
  <si>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</si>
  <si>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</si>
  <si>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</si>
  <si>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</si>
  <si>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</si>
  <si>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</si>
  <si>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</si>
  <si>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</si>
  <si>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</si>
  <si>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</si>
  <si>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</si>
  <si>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</si>
  <si>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</si>
  <si>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</si>
  <si>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</si>
  <si>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</si>
  <si>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</si>
  <si>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</si>
  <si>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</si>
  <si>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</si>
  <si>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</si>
  <si>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</si>
  <si>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</si>
  <si>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</si>
  <si>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</si>
  <si>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</si>
  <si>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</si>
  <si>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</si>
  <si>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</si>
  <si>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</si>
  <si>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</si>
  <si>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</si>
  <si>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</si>
  <si>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</si>
  <si>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</si>
  <si>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</si>
  <si>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</si>
  <si>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</si>
  <si>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</si>
  <si>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</si>
  <si>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</si>
  <si>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</si>
  <si>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</si>
  <si>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</si>
  <si>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</si>
  <si>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</si>
  <si>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</si>
  <si>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</si>
  <si>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</si>
  <si>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</si>
  <si>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</si>
  <si>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</si>
  <si>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</si>
  <si>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</si>
  <si>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</si>
  <si>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</si>
  <si>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</si>
  <si>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</si>
  <si>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</si>
  <si>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</si>
  <si>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</si>
  <si>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</si>
  <si>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</si>
  <si>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</si>
  <si>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</si>
  <si>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</si>
  <si>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</si>
  <si>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</si>
  <si>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</si>
  <si>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</si>
  <si>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</si>
  <si>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</si>
  <si>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</si>
  <si>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</si>
  <si>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</si>
  <si>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</si>
  <si>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</si>
  <si>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</si>
  <si>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</si>
  <si>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</si>
  <si>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</si>
  <si>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</si>
  <si>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</si>
  <si>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</si>
  <si>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</si>
  <si>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</si>
  <si>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</si>
  <si>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</si>
  <si>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</si>
  <si>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</si>
  <si>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</si>
  <si>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</si>
  <si>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</si>
  <si>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</si>
  <si>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</si>
  <si>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</si>
  <si>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</si>
  <si>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</si>
  <si>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</si>
  <si>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</si>
  <si>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</si>
  <si>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</si>
  <si>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</si>
  <si>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</si>
  <si>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</si>
  <si>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</si>
  <si>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</si>
  <si>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</si>
  <si>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</si>
  <si>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</si>
  <si>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</si>
  <si>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</si>
  <si>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</si>
  <si>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</si>
  <si>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</si>
  <si>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</si>
  <si>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</si>
  <si>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</si>
  <si>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</si>
  <si>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</si>
  <si>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</si>
  <si>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</si>
  <si>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</si>
  <si>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</si>
  <si>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</si>
  <si>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</si>
  <si>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</si>
  <si>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</si>
  <si>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</si>
  <si>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</si>
  <si>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</si>
  <si>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</si>
  <si>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</si>
  <si>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</si>
  <si>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</si>
  <si>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</si>
  <si>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</si>
  <si>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</si>
  <si>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</si>
  <si>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</si>
  <si>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</si>
  <si>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</si>
  <si>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</si>
  <si>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</si>
  <si>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</si>
  <si>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</si>
  <si>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</si>
  <si>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</si>
  <si>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</si>
  <si>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</si>
  <si>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</si>
  <si>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</si>
  <si>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</si>
  <si>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</si>
  <si>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</si>
  <si>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</si>
  <si>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</si>
  <si>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</si>
  <si>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</si>
  <si>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</si>
  <si>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</si>
  <si>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</si>
  <si>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</si>
  <si>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</si>
  <si>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</si>
  <si>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</si>
  <si>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</si>
  <si>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</si>
  <si>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</si>
  <si>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</si>
  <si>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</si>
  <si>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</si>
  <si>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</si>
  <si>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</si>
  <si>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</si>
  <si>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</si>
  <si>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</si>
  <si>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</si>
  <si>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</si>
  <si>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</si>
  <si>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</si>
  <si>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</si>
  <si>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</si>
  <si>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</si>
  <si>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</si>
  <si>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</si>
  <si>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</si>
  <si>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</si>
  <si>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</si>
  <si>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</si>
  <si>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</si>
  <si>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</si>
  <si>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</si>
  <si>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</si>
  <si>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</si>
  <si>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</si>
  <si>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</si>
  <si>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</si>
  <si>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</si>
  <si>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</si>
  <si>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</si>
  <si>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</si>
  <si>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</si>
  <si>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</si>
  <si>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</si>
  <si>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</si>
  <si>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</si>
  <si>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</si>
  <si>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</si>
  <si>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</si>
  <si>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</si>
  <si>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</si>
  <si>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</si>
  <si>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</si>
  <si>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</si>
  <si>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</si>
  <si>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</si>
  <si>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</si>
  <si>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</si>
  <si>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</si>
  <si>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</si>
  <si>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</si>
  <si>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</si>
  <si>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</si>
  <si>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</si>
  <si>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</si>
  <si>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</si>
  <si>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</si>
  <si>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</si>
  <si>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</si>
  <si>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</si>
  <si>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</si>
  <si>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</si>
  <si>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</si>
  <si>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</si>
  <si>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</si>
  <si>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</si>
  <si>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</si>
  <si>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</si>
  <si>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</si>
  <si>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</si>
  <si>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</si>
  <si>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</si>
  <si>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</si>
  <si>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</si>
  <si>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</si>
  <si>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</si>
  <si>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</si>
  <si>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</si>
  <si>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</si>
  <si>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</si>
  <si>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</si>
  <si>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</si>
  <si>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</si>
  <si>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</si>
  <si>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</si>
  <si>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</si>
  <si>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</si>
  <si>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</si>
  <si>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</si>
  <si>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</si>
  <si>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</si>
  <si>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</si>
  <si>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</si>
  <si>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</si>
  <si>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</si>
  <si>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</si>
  <si>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</si>
  <si>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</si>
  <si>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</si>
  <si>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</si>
  <si>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</si>
  <si>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</si>
  <si>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</si>
  <si>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</si>
  <si>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</si>
  <si>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</si>
  <si>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</si>
  <si>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</si>
  <si>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</si>
  <si>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</si>
  <si>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</si>
  <si>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</si>
  <si>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</si>
  <si>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</si>
  <si>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</si>
  <si>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</si>
  <si>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</si>
  <si>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</si>
  <si>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</si>
  <si>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</si>
  <si>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</si>
  <si>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</si>
  <si>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</si>
  <si>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</si>
  <si>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</si>
  <si>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</si>
  <si>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</si>
  <si>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</si>
  <si>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</si>
  <si>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</si>
  <si>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</si>
  <si>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</si>
  <si>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</si>
  <si>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</si>
  <si>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</si>
  <si>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</si>
  <si>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</si>
  <si>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</si>
  <si>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</si>
  <si>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</si>
  <si>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</si>
  <si>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</si>
  <si>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</si>
  <si>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</si>
  <si>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</si>
  <si>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</si>
  <si>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</si>
  <si>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</si>
  <si>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</si>
  <si>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</si>
  <si>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</si>
  <si>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</si>
  <si>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</si>
  <si>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</si>
  <si>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</si>
  <si>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</si>
  <si>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</si>
  <si>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</si>
  <si>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</si>
  <si>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</si>
  <si>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</si>
  <si>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</si>
  <si>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</si>
  <si>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</si>
  <si>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</si>
  <si>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</si>
  <si>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</si>
  <si>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</si>
  <si>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</si>
  <si>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</si>
  <si>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</si>
  <si>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</si>
  <si>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</si>
  <si>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</si>
  <si>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</si>
  <si>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</si>
  <si>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</si>
  <si>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</si>
  <si>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</si>
  <si>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</si>
  <si>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</si>
  <si>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</si>
  <si>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</si>
  <si>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</si>
  <si>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</si>
  <si>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</si>
  <si>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</si>
  <si>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</si>
  <si>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</si>
  <si>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</si>
  <si>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</si>
  <si>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</si>
  <si>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</si>
  <si>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</si>
  <si>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</si>
  <si>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</si>
  <si>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</si>
  <si>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</si>
  <si>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</si>
  <si>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</si>
  <si>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</si>
  <si>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</si>
  <si>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</si>
  <si>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</si>
  <si>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</si>
  <si>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</si>
  <si>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</si>
  <si>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</si>
  <si>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</si>
  <si>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</si>
  <si>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</si>
  <si>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</si>
  <si>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</si>
  <si>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</si>
  <si>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</si>
  <si>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</si>
  <si>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</si>
  <si>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</si>
  <si>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</si>
  <si>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</si>
  <si>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</si>
  <si>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</si>
  <si>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</si>
  <si>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</si>
  <si>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</si>
  <si>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</si>
  <si>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</si>
  <si>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</si>
  <si>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</si>
  <si>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</si>
  <si>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</si>
  <si>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</si>
  <si>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</si>
  <si>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</si>
  <si>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</si>
  <si>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</si>
  <si>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</si>
  <si>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</si>
  <si>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</si>
  <si>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</si>
  <si>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</si>
  <si>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</si>
  <si>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</si>
  <si>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</si>
  <si>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</si>
  <si>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</si>
  <si>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</si>
  <si>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</si>
  <si>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</si>
  <si>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</si>
  <si>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</si>
  <si>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</si>
  <si>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</si>
  <si>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</si>
  <si>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</si>
  <si>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</si>
  <si>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</si>
  <si>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</si>
  <si>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</si>
  <si>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</si>
  <si>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</si>
  <si>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</si>
  <si>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</si>
  <si>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</si>
  <si>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</si>
  <si>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</si>
  <si>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</si>
  <si>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</si>
  <si>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</si>
  <si>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</si>
  <si>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</si>
  <si>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</si>
  <si>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</si>
  <si>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</si>
  <si>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</si>
  <si>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</si>
  <si>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</si>
  <si>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</si>
  <si>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</si>
  <si>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</si>
  <si>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</si>
  <si>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</si>
  <si>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</si>
  <si>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</si>
  <si>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</si>
  <si>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</si>
  <si>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</si>
  <si>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</si>
  <si>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</si>
  <si>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</si>
  <si>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</si>
  <si>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</si>
  <si>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</si>
  <si>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</si>
  <si>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</si>
  <si>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</si>
  <si>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</si>
  <si>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</si>
  <si>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</si>
  <si>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</si>
  <si>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</si>
  <si>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</si>
  <si>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</si>
  <si>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</si>
  <si>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</si>
  <si>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</si>
  <si>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</si>
  <si>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</si>
  <si>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</si>
  <si>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</si>
  <si>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</si>
  <si>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</si>
  <si>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</si>
  <si>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</si>
  <si>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</si>
  <si>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</si>
  <si>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</si>
  <si>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</si>
  <si>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</si>
  <si>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</si>
  <si>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</si>
  <si>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</si>
  <si>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</si>
  <si>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</si>
  <si>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</si>
  <si>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</si>
  <si>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</si>
  <si>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</si>
  <si>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</si>
  <si>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</si>
  <si>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</si>
  <si>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</si>
  <si>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</si>
  <si>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</si>
  <si>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</si>
  <si>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</si>
  <si>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</si>
  <si>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</si>
  <si>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</si>
  <si>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</si>
  <si>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</si>
  <si>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</si>
  <si>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</si>
  <si>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</si>
  <si>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</si>
  <si>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</si>
  <si>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</si>
  <si>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</si>
  <si>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</si>
  <si>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</si>
  <si>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</si>
  <si>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</si>
  <si>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</si>
  <si>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</si>
  <si>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</si>
  <si>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</si>
  <si>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</si>
  <si>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</si>
  <si>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</si>
  <si>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</si>
  <si>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</si>
  <si>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</si>
  <si>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</si>
  <si>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</si>
  <si>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</si>
  <si>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</si>
  <si>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</si>
  <si>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</si>
  <si>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</si>
  <si>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</si>
  <si>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</si>
  <si>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</si>
  <si>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</si>
  <si>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</si>
  <si>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</si>
  <si>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</si>
  <si>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</si>
  <si>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</si>
  <si>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</si>
  <si>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</si>
  <si>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</si>
  <si>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</si>
  <si>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</si>
  <si>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</si>
  <si>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</si>
  <si>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</si>
  <si>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</si>
  <si>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</si>
  <si>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</si>
  <si>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</si>
  <si>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</si>
  <si>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</si>
  <si>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</si>
  <si>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</si>
  <si>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</si>
  <si>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</si>
  <si>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</si>
  <si>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</si>
  <si>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</si>
  <si>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</si>
  <si>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</si>
  <si>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</si>
  <si>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</si>
  <si>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</si>
  <si>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</si>
  <si>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</si>
  <si>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</si>
  <si>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</si>
  <si>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</si>
  <si>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</si>
  <si>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</si>
  <si>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</si>
  <si>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</si>
  <si>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</si>
  <si>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</si>
  <si>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</si>
  <si>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</si>
  <si>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</si>
  <si>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</si>
  <si>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</si>
  <si>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</si>
  <si>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</si>
  <si>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</si>
  <si>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</si>
  <si>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</si>
  <si>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</si>
  <si>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</si>
  <si>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</si>
  <si>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</si>
  <si>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</si>
  <si>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</si>
  <si>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</si>
  <si>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</si>
  <si>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</si>
  <si>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</si>
  <si>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</si>
  <si>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</si>
  <si>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</si>
  <si>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</si>
  <si>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</si>
  <si>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</si>
  <si>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</si>
  <si>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</si>
  <si>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</si>
  <si>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</si>
  <si>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</si>
  <si>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</si>
  <si>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</si>
  <si>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</si>
  <si>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</si>
  <si>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</si>
  <si>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</si>
  <si>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</si>
  <si>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</si>
  <si>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</si>
  <si>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</si>
  <si>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</si>
  <si>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</si>
  <si>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</si>
  <si>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</si>
  <si>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</si>
  <si>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</si>
  <si>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</si>
  <si>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</si>
  <si>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</si>
  <si>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</si>
  <si>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</si>
  <si>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</si>
  <si>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</si>
  <si>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</si>
  <si>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</si>
  <si>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</si>
  <si>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</si>
  <si>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</si>
  <si>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</si>
  <si>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</si>
  <si>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</si>
  <si>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</si>
  <si>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</si>
  <si>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</si>
  <si>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</si>
  <si>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</si>
  <si>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</si>
  <si>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</si>
  <si>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</si>
  <si>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</si>
  <si>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</si>
  <si>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</si>
  <si>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</si>
  <si>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</si>
  <si>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</si>
  <si>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</si>
  <si>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</si>
  <si>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</si>
  <si>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</si>
  <si>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</si>
  <si>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</si>
  <si>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</si>
  <si>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</si>
  <si>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</si>
  <si>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</si>
  <si>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</si>
  <si>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</si>
  <si>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</si>
  <si>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</si>
  <si>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</si>
  <si>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</si>
  <si>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</si>
  <si>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</si>
  <si>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</si>
  <si>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</si>
  <si>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</si>
  <si>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</si>
  <si>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</si>
  <si>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</si>
  <si>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</si>
  <si>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</si>
  <si>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</si>
  <si>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</si>
  <si>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</si>
  <si>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</si>
  <si>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</si>
  <si>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</si>
  <si>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</si>
  <si>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</si>
  <si>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</si>
  <si>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</si>
  <si>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</si>
  <si>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</si>
  <si>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</si>
  <si>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</si>
  <si>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</si>
  <si>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</si>
  <si>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</si>
  <si>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</si>
  <si>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</si>
  <si>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</si>
  <si>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</si>
  <si>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</si>
  <si>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</si>
  <si>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</si>
  <si>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</si>
  <si>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</si>
  <si>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</si>
  <si>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</si>
  <si>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</si>
  <si>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</si>
  <si>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</si>
  <si>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</si>
  <si>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</si>
  <si>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</si>
  <si>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</si>
  <si>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</si>
  <si>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</si>
  <si>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</si>
  <si>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</si>
  <si>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</si>
  <si>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</si>
  <si>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</si>
  <si>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</si>
  <si>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</si>
  <si>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</si>
  <si>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</si>
  <si>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</si>
  <si>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</si>
  <si>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</si>
  <si>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</si>
  <si>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</si>
  <si>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</si>
  <si>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</si>
  <si>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</si>
  <si>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</si>
  <si>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</si>
  <si>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</si>
  <si>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</si>
  <si>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</si>
  <si>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</si>
  <si>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</si>
  <si>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</si>
  <si>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</si>
  <si>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</si>
  <si>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</si>
  <si>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</si>
  <si>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</si>
  <si>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</si>
  <si>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</si>
  <si>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</si>
  <si>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</si>
  <si>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</si>
  <si>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</si>
  <si>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</si>
  <si>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</si>
  <si>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</si>
  <si>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</si>
  <si>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</si>
  <si>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</si>
  <si>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</si>
  <si>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</si>
  <si>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</si>
  <si>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</si>
  <si>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</si>
  <si>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</si>
  <si>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</si>
  <si>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</si>
  <si>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</si>
  <si>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</si>
  <si>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</si>
  <si>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</si>
  <si>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</si>
  <si>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</si>
  <si>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</si>
  <si>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</si>
  <si>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</si>
  <si>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</si>
  <si>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</si>
  <si>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</si>
  <si>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</si>
  <si>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</si>
  <si>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</si>
  <si>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</si>
  <si>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</si>
  <si>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</si>
  <si>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</si>
  <si>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</si>
  <si>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</si>
  <si>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</si>
  <si>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</si>
  <si>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</si>
  <si>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</si>
  <si>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</si>
  <si>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</si>
  <si>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</si>
  <si>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</si>
  <si>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</si>
  <si>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</si>
  <si>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</si>
  <si>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</si>
  <si>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</si>
  <si>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</si>
  <si>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</si>
  <si>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</si>
  <si>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</si>
  <si>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</si>
  <si>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</si>
  <si>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</si>
  <si>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</si>
  <si>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</si>
  <si>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</si>
  <si>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</si>
  <si>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</si>
  <si>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</si>
  <si>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</si>
  <si>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</si>
  <si>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</si>
  <si>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</si>
  <si>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</si>
  <si>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</si>
  <si>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</si>
  <si>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</si>
  <si>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</si>
  <si>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</si>
  <si>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</si>
  <si>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</si>
  <si>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</si>
  <si>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</si>
  <si>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</si>
  <si>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</si>
  <si>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</si>
  <si>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</si>
  <si>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</si>
  <si>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</si>
  <si>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</si>
  <si>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</si>
  <si>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</si>
  <si>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</si>
  <si>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</si>
  <si>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</si>
  <si>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</si>
  <si>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</si>
  <si>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</si>
  <si>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</si>
  <si>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</si>
  <si>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</si>
  <si>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</si>
  <si>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</si>
  <si>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</si>
  <si>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</si>
  <si>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</si>
  <si>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</si>
  <si>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</si>
  <si>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</si>
  <si>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</si>
  <si>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</si>
  <si>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</si>
  <si>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</si>
  <si>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</si>
  <si>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</si>
  <si>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</si>
  <si>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</si>
  <si>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</si>
  <si>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</si>
  <si>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</si>
  <si>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</si>
  <si>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</si>
  <si>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</si>
  <si>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</si>
  <si>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</si>
  <si>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</si>
  <si>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</si>
  <si>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</si>
  <si>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</si>
  <si>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</si>
  <si>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</si>
  <si>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</si>
  <si>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</si>
  <si>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</si>
  <si>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</si>
  <si>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</si>
  <si>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</si>
  <si>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</si>
  <si>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</si>
  <si>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</si>
  <si>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</si>
  <si>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</si>
  <si>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</si>
  <si>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</si>
  <si>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</si>
  <si>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</si>
  <si>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</si>
  <si>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</si>
  <si>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</si>
  <si>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</si>
  <si>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</si>
  <si>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</si>
  <si>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</si>
  <si>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</si>
  <si>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</si>
  <si>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</si>
  <si>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</si>
  <si>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</si>
  <si>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</si>
  <si>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</si>
  <si>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</si>
  <si>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</si>
  <si>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</si>
  <si>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</si>
  <si>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</si>
  <si>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</si>
  <si>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</si>
  <si>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</si>
  <si>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</si>
  <si>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</si>
  <si>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</si>
  <si>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</si>
  <si>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</si>
  <si>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</si>
  <si>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</si>
  <si>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</si>
  <si>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</si>
  <si>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</si>
  <si>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</si>
  <si>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</si>
  <si>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</si>
  <si>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</si>
  <si>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</si>
  <si>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</si>
  <si>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</si>
  <si>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</si>
  <si>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</si>
  <si>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</si>
  <si>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</si>
  <si>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</si>
  <si>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</si>
  <si>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</si>
  <si>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</si>
  <si>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</si>
  <si>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</si>
  <si>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</si>
  <si>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</si>
  <si>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</si>
  <si>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</si>
  <si>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</si>
  <si>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</si>
  <si>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</si>
  <si>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</si>
  <si>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</si>
  <si>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</si>
  <si>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</si>
  <si>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</si>
  <si>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</si>
  <si>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</si>
  <si>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</si>
  <si>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</si>
  <si>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</si>
  <si>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</si>
  <si>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</si>
  <si>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</si>
  <si>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</si>
  <si>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</si>
  <si>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</si>
  <si>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</si>
  <si>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</si>
  <si>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</si>
  <si>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</si>
  <si>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</si>
  <si>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</si>
  <si>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</si>
  <si>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</si>
  <si>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</si>
  <si>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</si>
  <si>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</si>
  <si>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</si>
  <si>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</si>
  <si>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</si>
  <si>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</si>
  <si>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</si>
  <si>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</si>
  <si>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</si>
  <si>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</si>
  <si>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</si>
  <si>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</si>
  <si>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</si>
  <si>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</si>
  <si>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</si>
  <si>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</si>
  <si>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</si>
  <si>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</si>
  <si>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</si>
  <si>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</si>
  <si>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</si>
  <si>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</si>
  <si>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</si>
  <si>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</si>
  <si>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</si>
  <si>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</si>
  <si>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</si>
  <si>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</si>
  <si>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</si>
  <si>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</si>
  <si>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</si>
  <si>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</si>
  <si>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</si>
  <si>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</si>
  <si>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</si>
  <si>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</si>
  <si>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</si>
  <si>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</si>
  <si>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</si>
  <si>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</si>
  <si>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</si>
  <si>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</si>
  <si>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</si>
  <si>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</si>
  <si>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</si>
  <si>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</si>
  <si>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</si>
  <si>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</si>
  <si>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</si>
  <si>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</si>
  <si>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</si>
  <si>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</si>
  <si>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</si>
  <si>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</si>
  <si>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</si>
  <si>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</si>
  <si>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</si>
  <si>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</si>
  <si>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</si>
  <si>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</si>
  <si>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</si>
  <si>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</si>
  <si>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</si>
  <si>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</si>
  <si>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</si>
  <si>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</si>
  <si>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</si>
  <si>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</si>
  <si>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</si>
  <si>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</si>
  <si>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</si>
  <si>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</si>
  <si>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</si>
  <si>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</si>
  <si>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</si>
  <si>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</si>
  <si>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</si>
  <si>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</si>
  <si>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</si>
  <si>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</si>
  <si>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</si>
  <si>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</si>
  <si>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</si>
  <si>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</si>
  <si>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</si>
  <si>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</si>
  <si>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</si>
  <si>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</si>
  <si>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</si>
  <si>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</si>
  <si>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</si>
  <si>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</si>
  <si>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</si>
  <si>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</si>
  <si>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</si>
  <si>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</si>
  <si>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</si>
  <si>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</si>
  <si>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</si>
  <si>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</si>
  <si>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</si>
  <si>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</si>
  <si>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</si>
  <si>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</si>
  <si>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</si>
  <si>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</si>
  <si>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</si>
  <si>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</si>
  <si>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</si>
  <si>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</si>
  <si>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</si>
  <si>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</si>
  <si>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</si>
  <si>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</si>
  <si>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</si>
  <si>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</si>
  <si>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</si>
  <si>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</si>
  <si>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</si>
  <si>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</si>
  <si>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</si>
  <si>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</si>
  <si>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</si>
  <si>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</si>
  <si>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</si>
  <si>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</si>
  <si>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</si>
  <si>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</si>
  <si>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</si>
  <si>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</si>
  <si>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</si>
  <si>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</si>
  <si>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</si>
  <si>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</si>
  <si>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</si>
  <si>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</si>
  <si>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</si>
  <si>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</si>
  <si>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</si>
  <si>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</si>
  <si>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</si>
  <si>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</si>
  <si>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</si>
  <si>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</si>
  <si>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</si>
  <si>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</si>
  <si>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</si>
  <si>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</si>
  <si>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</si>
  <si>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</si>
  <si>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</si>
  <si>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</si>
  <si>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</si>
  <si>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</si>
  <si>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</si>
  <si>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</si>
  <si>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</si>
  <si>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</si>
  <si>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</si>
  <si>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</si>
  <si>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</si>
  <si>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</si>
  <si>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</si>
  <si>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</si>
  <si>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</si>
  <si>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</si>
  <si>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</si>
  <si>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</si>
  <si>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</si>
  <si>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</si>
  <si>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</si>
  <si>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</si>
  <si>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</si>
  <si>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</si>
  <si>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</si>
  <si>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</si>
  <si>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</si>
  <si>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</si>
  <si>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</si>
  <si>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</si>
  <si>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</si>
  <si>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</si>
  <si>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</si>
  <si>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</si>
  <si>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</si>
  <si>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</si>
  <si>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</si>
  <si>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</si>
  <si>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</si>
  <si>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</si>
  <si>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</si>
  <si>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</si>
  <si>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</si>
  <si>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</si>
  <si>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</si>
  <si>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</si>
  <si>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</si>
  <si>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</si>
  <si>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</si>
  <si>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</si>
  <si>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</si>
  <si>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</si>
  <si>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</si>
  <si>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</si>
  <si>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</si>
  <si>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</si>
  <si>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</si>
  <si>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</si>
  <si>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</si>
  <si>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</si>
  <si>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</si>
  <si>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</si>
  <si>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</si>
  <si>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</si>
  <si>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</si>
  <si>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</si>
  <si>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</si>
  <si>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</si>
  <si>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</si>
  <si>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</si>
  <si>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</si>
  <si>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</si>
  <si>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</si>
  <si>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</si>
  <si>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</si>
  <si>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</si>
  <si>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</si>
  <si>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</si>
  <si>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</si>
  <si>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</si>
  <si>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</si>
  <si>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</si>
  <si>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</si>
  <si>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</si>
  <si>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</si>
  <si>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</si>
  <si>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</si>
  <si>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</si>
  <si>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</si>
  <si>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</si>
  <si>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</si>
  <si>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</si>
  <si>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</si>
  <si>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</si>
  <si>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</si>
  <si>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</si>
  <si>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</si>
  <si>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</si>
  <si>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</si>
  <si>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</si>
  <si>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</si>
  <si>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</si>
  <si>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</si>
  <si>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</si>
  <si>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</si>
  <si>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</si>
  <si>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</si>
  <si>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</si>
  <si>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</si>
  <si>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</si>
  <si>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</si>
  <si>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</si>
  <si>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</si>
  <si>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</si>
  <si>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</si>
  <si>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</si>
  <si>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</si>
  <si>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</si>
  <si>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</si>
  <si>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</si>
  <si>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</si>
  <si>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</si>
  <si>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</si>
  <si>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</si>
  <si>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</si>
  <si>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</si>
  <si>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</si>
  <si>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</si>
  <si>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</si>
  <si>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</si>
  <si>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</si>
  <si>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</si>
  <si>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</si>
  <si>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</si>
  <si>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</si>
  <si>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</si>
  <si>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</si>
  <si>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</si>
  <si>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</si>
  <si>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</si>
  <si>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</si>
  <si>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</si>
  <si>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</si>
  <si>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</si>
  <si>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</si>
  <si>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</si>
  <si>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</si>
  <si>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</si>
  <si>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</si>
  <si>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</si>
  <si>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</si>
  <si>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</si>
  <si>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</si>
  <si>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</si>
  <si>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</si>
  <si>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</si>
  <si>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</si>
  <si>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</si>
  <si>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</si>
  <si>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</si>
  <si>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</si>
  <si>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</si>
  <si>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</si>
  <si>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</si>
  <si>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</si>
  <si>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</si>
  <si>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</si>
  <si>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</si>
  <si>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</si>
  <si>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</si>
  <si>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</si>
  <si>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</si>
  <si>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</si>
  <si>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</si>
  <si>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</si>
  <si>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</si>
  <si>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</si>
  <si>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</si>
  <si>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</si>
  <si>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</si>
  <si>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</si>
  <si>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</si>
  <si>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</si>
  <si>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</si>
  <si>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</si>
  <si>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</si>
  <si>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</si>
  <si>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</si>
  <si>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</si>
  <si>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</si>
  <si>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</si>
  <si>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</si>
  <si>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</si>
  <si>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</si>
  <si>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</si>
  <si>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</si>
  <si>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</si>
  <si>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</si>
  <si>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</si>
  <si>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</si>
  <si>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</si>
  <si>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</si>
  <si>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</si>
  <si>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</si>
  <si>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</si>
  <si>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</si>
  <si>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</si>
  <si>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</si>
  <si>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</si>
  <si>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</si>
  <si>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</si>
  <si>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</si>
  <si>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</si>
  <si>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</si>
  <si>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</si>
  <si>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</si>
  <si>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</si>
  <si>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</si>
  <si>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</si>
  <si>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</si>
  <si>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</si>
  <si>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</si>
  <si>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</si>
  <si>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</si>
  <si>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</si>
  <si>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</si>
  <si>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</si>
  <si>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</si>
  <si>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</si>
  <si>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</si>
  <si>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</si>
  <si>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</si>
  <si>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</si>
  <si>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</si>
  <si>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</si>
  <si>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</si>
  <si>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</si>
  <si>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</si>
  <si>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</si>
  <si>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</si>
  <si>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</si>
  <si>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</si>
  <si>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</si>
  <si>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</si>
  <si>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</si>
  <si>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</si>
  <si>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</si>
  <si>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</si>
  <si>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</si>
  <si>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</si>
  <si>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</si>
  <si>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</si>
  <si>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</si>
  <si>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</si>
  <si>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</si>
  <si>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</si>
  <si>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</si>
  <si>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</si>
  <si>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</si>
  <si>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</si>
  <si>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</si>
  <si>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</si>
  <si>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</si>
  <si>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</si>
  <si>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</si>
  <si>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</si>
  <si>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</si>
  <si>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</si>
  <si>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</si>
  <si>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</si>
  <si>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</si>
  <si>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</si>
  <si>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</si>
  <si>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</si>
  <si>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</si>
  <si>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</si>
  <si>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</si>
  <si>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</si>
  <si>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</si>
  <si>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</si>
  <si>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</si>
  <si>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</si>
  <si>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</si>
  <si>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</si>
  <si>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</si>
  <si>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</si>
  <si>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</si>
  <si>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</si>
  <si>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</si>
  <si>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</si>
  <si>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</si>
  <si>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</si>
  <si>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</si>
  <si>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</si>
  <si>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</si>
  <si>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</si>
  <si>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</si>
  <si>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</si>
  <si>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</si>
  <si>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</si>
  <si>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</si>
  <si>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</si>
  <si>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</si>
  <si>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</si>
  <si>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</si>
  <si>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</si>
  <si>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</si>
  <si>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</si>
  <si>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</si>
  <si>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</si>
  <si>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</si>
  <si>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</si>
  <si>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</si>
  <si>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</si>
  <si>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</si>
  <si>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</si>
  <si>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</si>
  <si>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</si>
  <si>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</si>
  <si>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</si>
  <si>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</si>
  <si>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</si>
  <si>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</si>
  <si>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</si>
  <si>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</si>
  <si>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</si>
  <si>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</si>
  <si>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</si>
  <si>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</si>
  <si>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</si>
  <si>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</si>
  <si>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</si>
  <si>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</si>
  <si>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</si>
  <si>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</si>
  <si>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</si>
  <si>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</si>
  <si>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</si>
  <si>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</si>
  <si>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</si>
  <si>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</si>
  <si>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</si>
  <si>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</si>
  <si>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</si>
  <si>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</si>
  <si>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</si>
  <si>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</si>
  <si>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</si>
  <si>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</si>
  <si>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</si>
  <si>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</si>
  <si>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</si>
  <si>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</si>
  <si>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</si>
  <si>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</si>
  <si>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</si>
  <si>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</si>
  <si>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</si>
  <si>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</si>
  <si>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</si>
  <si>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</si>
  <si>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</si>
  <si>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</si>
  <si>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</si>
  <si>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</si>
  <si>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</si>
  <si>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</si>
  <si>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</si>
  <si>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</si>
  <si>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</si>
  <si>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</si>
  <si>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</si>
  <si>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</si>
  <si>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</si>
  <si>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</si>
  <si>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</si>
  <si>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</si>
  <si>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</si>
  <si>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</si>
  <si>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</si>
  <si>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</si>
  <si>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</si>
  <si>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</si>
  <si>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</si>
  <si>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</si>
  <si>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</si>
  <si>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</si>
  <si>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</si>
  <si>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</si>
  <si>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</si>
  <si>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</si>
  <si>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</si>
  <si>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</si>
  <si>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</si>
  <si>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</si>
  <si>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</si>
  <si>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</si>
  <si>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</si>
  <si>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</si>
  <si>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</si>
  <si>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</si>
  <si>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</si>
  <si>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</si>
  <si>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</si>
  <si>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</si>
  <si>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</si>
  <si>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</si>
  <si>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</si>
  <si>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</si>
  <si>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</si>
  <si>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</si>
  <si>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</si>
  <si>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</si>
  <si>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</si>
  <si>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</si>
  <si>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</si>
  <si>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</si>
  <si>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</si>
  <si>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</si>
  <si>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</si>
  <si>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</si>
  <si>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</si>
  <si>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</si>
  <si>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</si>
  <si>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</si>
  <si>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</si>
  <si>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</si>
  <si>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</si>
  <si>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</si>
  <si>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</si>
  <si>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</si>
  <si>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</si>
  <si>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</si>
  <si>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</si>
  <si>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</si>
  <si>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</si>
  <si>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</si>
  <si>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</si>
  <si>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</si>
  <si>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</si>
  <si>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</si>
  <si>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</si>
  <si>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</si>
  <si>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</si>
  <si>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</si>
  <si>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</si>
  <si>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</si>
  <si>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</si>
  <si>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</si>
  <si>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</si>
  <si>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</si>
  <si>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</si>
  <si>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</si>
  <si>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</si>
  <si>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</si>
  <si>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</si>
  <si>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</si>
  <si>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</si>
  <si>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</si>
  <si>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</si>
  <si>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</si>
  <si>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</si>
  <si>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</si>
  <si>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</si>
  <si>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</si>
  <si>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</si>
  <si>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</si>
  <si>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</si>
  <si>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</si>
  <si>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</si>
  <si>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</si>
  <si>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</si>
  <si>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</si>
  <si>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</si>
  <si>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</si>
  <si>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</si>
  <si>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</si>
  <si>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</si>
  <si>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</si>
  <si>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</si>
  <si>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</si>
  <si>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</si>
  <si>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</si>
  <si>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</si>
  <si>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</si>
  <si>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</si>
  <si>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</si>
  <si>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</si>
  <si>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</si>
  <si>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</si>
  <si>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</si>
  <si>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</si>
  <si>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</si>
  <si>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</si>
  <si>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</si>
  <si>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</si>
  <si>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</si>
  <si>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</si>
  <si>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</si>
  <si>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</si>
  <si>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</si>
  <si>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</si>
  <si>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</si>
  <si>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</si>
  <si>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</si>
  <si>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</si>
  <si>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</si>
  <si>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</si>
  <si>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</si>
  <si>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</si>
  <si>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</si>
  <si>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</si>
  <si>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</si>
  <si>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</si>
  <si>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</si>
  <si>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</si>
  <si>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</si>
  <si>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</si>
  <si>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</si>
  <si>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</si>
  <si>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</si>
  <si>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</si>
  <si>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</si>
  <si>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</si>
  <si>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</si>
  <si>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</si>
  <si>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</si>
  <si>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</si>
  <si>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</si>
  <si>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</si>
  <si>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</si>
  <si>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</si>
  <si>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</si>
  <si>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</si>
  <si>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</si>
  <si>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</si>
  <si>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</si>
  <si>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</si>
  <si>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</si>
  <si>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</si>
  <si>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</si>
  <si>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</si>
  <si>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</si>
  <si>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</si>
  <si>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</si>
  <si>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</si>
  <si>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</si>
  <si>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</si>
  <si>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</si>
  <si>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</si>
  <si>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</si>
  <si>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</si>
  <si>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</si>
  <si>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</si>
  <si>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</si>
  <si>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</si>
  <si>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</si>
  <si>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</si>
  <si>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</si>
  <si>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</si>
  <si>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</si>
  <si>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</si>
  <si>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</si>
  <si>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</si>
  <si>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</si>
  <si>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</si>
  <si>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</si>
  <si>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</si>
  <si>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</si>
  <si>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</si>
  <si>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</si>
  <si>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</si>
  <si>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</si>
  <si>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</si>
  <si>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</si>
  <si>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</si>
  <si>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</si>
  <si>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</si>
  <si>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</si>
  <si>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</si>
  <si>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</si>
  <si>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</si>
  <si>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</si>
  <si>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</si>
  <si>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</si>
  <si>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</si>
  <si>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</si>
  <si>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</si>
  <si>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</si>
  <si>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</si>
  <si>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</si>
  <si>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</si>
  <si>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</si>
  <si>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</si>
  <si>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</si>
  <si>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</si>
  <si>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</si>
  <si>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</si>
  <si>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</si>
  <si>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</si>
  <si>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</si>
  <si>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</si>
  <si>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</si>
  <si>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</si>
  <si>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</si>
  <si>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</si>
  <si>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</si>
  <si>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</si>
  <si>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</si>
  <si>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</si>
  <si>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</si>
  <si>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</si>
  <si>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</si>
  <si>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</si>
  <si>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</si>
  <si>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</si>
  <si>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</si>
  <si>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</si>
  <si>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</si>
  <si>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</si>
  <si>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</si>
  <si>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</si>
  <si>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</si>
  <si>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</si>
  <si>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</si>
  <si>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</si>
  <si>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</si>
  <si>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</si>
  <si>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</si>
  <si>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</si>
  <si>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</si>
  <si>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</si>
  <si>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</si>
  <si>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</si>
  <si>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</si>
  <si>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</si>
  <si>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</si>
  <si>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</si>
  <si>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</si>
  <si>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</si>
  <si>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</si>
  <si>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</si>
  <si>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</si>
  <si>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</si>
  <si>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</si>
  <si>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</si>
  <si>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</si>
  <si>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</si>
  <si>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</si>
  <si>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</si>
  <si>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</si>
  <si>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</si>
  <si>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</si>
  <si>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</si>
  <si>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</si>
  <si>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</si>
  <si>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</si>
  <si>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</si>
  <si>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</si>
  <si>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</si>
  <si>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</si>
  <si>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</si>
  <si>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</si>
  <si>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</si>
  <si>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</si>
  <si>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</si>
  <si>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</si>
  <si>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</si>
  <si>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</si>
  <si>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</si>
  <si>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</si>
  <si>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</si>
  <si>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</si>
  <si>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</si>
  <si>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</si>
  <si>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</si>
  <si>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</si>
  <si>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</si>
  <si>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</si>
  <si>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</si>
  <si>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</si>
  <si>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</si>
  <si>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</si>
  <si>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</si>
  <si>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</si>
  <si>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</si>
  <si>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</si>
  <si>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</si>
  <si>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</si>
  <si>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</si>
  <si>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</si>
  <si>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</si>
  <si>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</si>
  <si>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</si>
  <si>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</si>
  <si>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</si>
  <si>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</si>
  <si>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</si>
  <si>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</si>
  <si>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</si>
  <si>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</si>
  <si>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</si>
  <si>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</si>
  <si>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</si>
  <si>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</si>
  <si>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</si>
  <si>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</si>
  <si>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</si>
  <si>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</si>
  <si>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</si>
  <si>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</si>
  <si>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</si>
  <si>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</si>
  <si>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</si>
  <si>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</si>
  <si>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</si>
  <si>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</si>
  <si>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</si>
  <si>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</si>
  <si>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</si>
  <si>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</si>
  <si>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</si>
  <si>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</si>
  <si>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</si>
  <si>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</si>
  <si>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</si>
  <si>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</si>
  <si>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</si>
  <si>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</si>
  <si>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</si>
  <si>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</si>
  <si>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</si>
  <si>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</si>
  <si>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</si>
  <si>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</si>
  <si>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</si>
  <si>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</si>
  <si>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</si>
  <si>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</si>
  <si>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</si>
  <si>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</si>
  <si>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</si>
  <si>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</si>
  <si>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</si>
  <si>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</si>
  <si>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</si>
  <si>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</si>
  <si>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</si>
  <si>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</si>
  <si>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</si>
  <si>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</si>
  <si>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</si>
  <si>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</si>
  <si>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</si>
  <si>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</si>
  <si>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</si>
  <si>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</si>
  <si>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</si>
  <si>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</si>
  <si>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</si>
  <si>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</si>
  <si>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</si>
  <si>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</si>
  <si>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</si>
  <si>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</si>
  <si>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</si>
  <si>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</si>
  <si>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</si>
  <si>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</si>
  <si>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</si>
  <si>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</si>
  <si>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</si>
  <si>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</si>
  <si>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</si>
  <si>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</si>
  <si>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</si>
  <si>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</si>
  <si>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</si>
  <si>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</si>
  <si>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</si>
  <si>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</si>
  <si>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</si>
  <si>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</si>
  <si>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</si>
  <si>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</si>
  <si>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</si>
  <si>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</si>
  <si>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</si>
  <si>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</si>
  <si>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</si>
  <si>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</si>
  <si>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</si>
  <si>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</si>
  <si>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</si>
  <si>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</si>
  <si>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</si>
  <si>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</si>
  <si>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</si>
  <si>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</si>
  <si>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</si>
  <si>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</si>
  <si>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</si>
  <si>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</si>
  <si>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</si>
  <si>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</si>
  <si>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</si>
  <si>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</si>
  <si>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</si>
  <si>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</si>
  <si>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</si>
  <si>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</si>
  <si>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</si>
  <si>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</si>
  <si>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</si>
  <si>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</si>
  <si>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</si>
  <si>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</si>
  <si>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</si>
  <si>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</si>
  <si>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</si>
  <si>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</si>
  <si>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</si>
  <si>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</si>
  <si>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</si>
  <si>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</si>
  <si>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</si>
  <si>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</si>
  <si>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</si>
  <si>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</si>
  <si>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</si>
  <si>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</si>
  <si>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</si>
  <si>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</si>
  <si>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</si>
  <si>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</si>
  <si>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</si>
  <si>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</si>
  <si>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</si>
  <si>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</si>
  <si>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</si>
  <si>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</si>
  <si>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</si>
  <si>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</si>
  <si>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</si>
  <si>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</si>
  <si>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</si>
  <si>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</si>
  <si>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</si>
  <si>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</si>
  <si>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</si>
  <si>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</si>
  <si>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</si>
  <si>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</si>
  <si>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</si>
  <si>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</si>
  <si>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</si>
  <si>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</si>
  <si>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</si>
  <si>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</si>
  <si>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</si>
  <si>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</si>
  <si>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</si>
  <si>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</si>
  <si>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</si>
  <si>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</si>
  <si>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</si>
  <si>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</si>
  <si>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</si>
  <si>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</si>
  <si>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</si>
  <si>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</si>
  <si>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</si>
  <si>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</si>
  <si>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</si>
  <si>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</si>
  <si>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</si>
  <si>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</si>
  <si>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</si>
  <si>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</si>
  <si>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</si>
  <si>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</si>
  <si>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</si>
  <si>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</si>
  <si>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</si>
  <si>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</si>
  <si>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</si>
  <si>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</si>
  <si>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</si>
  <si>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</si>
  <si>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</si>
  <si>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</si>
  <si>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</si>
  <si>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</si>
  <si>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</si>
  <si>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</si>
  <si>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</si>
  <si>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</si>
  <si>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</si>
  <si>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</si>
  <si>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</si>
  <si>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</si>
  <si>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</si>
  <si>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</si>
  <si>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</si>
  <si>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</si>
  <si>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</si>
  <si>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</si>
  <si>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</si>
  <si>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</si>
  <si>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</si>
  <si>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</si>
  <si>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</si>
  <si>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</si>
  <si>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</si>
  <si>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</si>
  <si>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</si>
  <si>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</si>
  <si>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</si>
  <si>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</si>
  <si>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</si>
  <si>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</si>
  <si>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</si>
  <si>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</si>
  <si>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</si>
  <si>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</si>
  <si>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</si>
  <si>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</si>
  <si>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</si>
  <si>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</si>
  <si>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</si>
  <si>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</si>
  <si>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</si>
  <si>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</si>
  <si>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</si>
  <si>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</si>
  <si>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</si>
  <si>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</si>
  <si>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</si>
  <si>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</si>
  <si>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</si>
  <si>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</si>
  <si>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</si>
  <si>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</si>
  <si>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</si>
  <si>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</si>
  <si>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</si>
  <si>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</si>
  <si>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</si>
  <si>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</si>
  <si>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</si>
  <si>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</si>
  <si>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</si>
  <si>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</si>
  <si>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</si>
  <si>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</si>
  <si>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</si>
  <si>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</si>
  <si>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</si>
  <si>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</si>
  <si>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</si>
  <si>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</si>
  <si>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</si>
  <si>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</si>
  <si>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</si>
  <si>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</si>
  <si>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</si>
  <si>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</si>
  <si>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</si>
  <si>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</si>
  <si>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</si>
  <si>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</si>
  <si>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</si>
  <si>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</si>
  <si>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</si>
  <si>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</si>
  <si>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</si>
  <si>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</si>
  <si>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</si>
  <si>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</si>
  <si>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</si>
  <si>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</si>
  <si>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</si>
  <si>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</si>
  <si>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</si>
  <si>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</si>
  <si>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</si>
  <si>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</si>
  <si>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</si>
  <si>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</si>
  <si>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</si>
  <si>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</si>
  <si>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</si>
  <si>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</si>
  <si>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</si>
  <si>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</si>
  <si>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</si>
  <si>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</si>
  <si>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</si>
  <si>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</si>
  <si>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</si>
  <si>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</si>
  <si>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</si>
  <si>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</si>
  <si>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</si>
  <si>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</si>
  <si>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</si>
  <si>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</si>
  <si>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</si>
  <si>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</si>
  <si>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</si>
  <si>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</si>
  <si>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</si>
  <si>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</si>
  <si>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</si>
  <si>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</si>
  <si>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</si>
  <si>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</si>
  <si>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</si>
  <si>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</si>
  <si>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</si>
  <si>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</si>
  <si>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</si>
  <si>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</si>
  <si>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</si>
  <si>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</si>
  <si>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</si>
  <si>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</si>
  <si>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</si>
  <si>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</si>
  <si>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</si>
  <si>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</si>
  <si>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</si>
  <si>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</si>
  <si>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</si>
  <si>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</si>
  <si>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</si>
  <si>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</si>
  <si>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</si>
  <si>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</si>
  <si>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</si>
  <si>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</si>
  <si>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</si>
  <si>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</si>
  <si>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</si>
  <si>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</si>
  <si>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</si>
  <si>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</si>
  <si>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</si>
  <si>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</si>
  <si>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</si>
  <si>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</si>
  <si>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</si>
  <si>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</si>
  <si>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</si>
  <si>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</si>
  <si>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</si>
  <si>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</si>
  <si>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</si>
  <si>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</si>
  <si>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</si>
  <si>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</si>
  <si>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</si>
  <si>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</si>
  <si>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</si>
  <si>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</si>
  <si>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</si>
  <si>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</si>
  <si>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</si>
  <si>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</si>
  <si>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</si>
  <si>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</si>
  <si>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</si>
  <si>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</si>
  <si>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</si>
  <si>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</si>
  <si>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</si>
  <si>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</si>
  <si>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</si>
  <si>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</si>
  <si>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</si>
  <si>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</si>
  <si>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</si>
  <si>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</si>
  <si>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</si>
  <si>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</si>
  <si>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</si>
  <si>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</si>
  <si>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</si>
  <si>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</si>
  <si>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</si>
  <si>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</si>
  <si>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</si>
  <si>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</si>
  <si>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</si>
  <si>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</si>
  <si>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</si>
  <si>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</si>
  <si>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</si>
  <si>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</si>
  <si>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</si>
  <si>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</si>
  <si>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</si>
  <si>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</si>
  <si>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</si>
  <si>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</si>
  <si>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</si>
  <si>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</si>
  <si>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</si>
  <si>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</si>
  <si>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</si>
  <si>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</si>
  <si>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</si>
  <si>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</si>
  <si>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</si>
  <si>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</si>
  <si>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</si>
  <si>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</si>
  <si>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</si>
  <si>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</si>
  <si>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</si>
  <si>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</si>
  <si>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</si>
  <si>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</si>
  <si>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</si>
  <si>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</si>
  <si>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</si>
  <si>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</si>
  <si>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</si>
  <si>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</si>
  <si>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</si>
  <si>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</si>
  <si>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</si>
  <si>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</si>
  <si>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</si>
  <si>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</si>
  <si>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</si>
  <si>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</si>
  <si>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</si>
  <si>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</si>
  <si>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</si>
  <si>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</si>
  <si>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</si>
  <si>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</si>
  <si>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</si>
  <si>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</si>
  <si>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</si>
  <si>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</si>
  <si>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</si>
  <si>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</si>
  <si>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</si>
  <si>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</si>
  <si>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</si>
  <si>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</si>
  <si>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</si>
  <si>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</si>
  <si>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</si>
  <si>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</si>
  <si>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</si>
  <si>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</si>
  <si>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</si>
  <si>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</si>
  <si>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</si>
  <si>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</si>
  <si>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</si>
  <si>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</si>
  <si>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</si>
  <si>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</si>
  <si>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</si>
  <si>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</si>
  <si>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</si>
  <si>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</si>
  <si>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</si>
  <si>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</si>
  <si>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</si>
  <si>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</si>
  <si>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</si>
  <si>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</si>
  <si>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</si>
  <si>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</si>
  <si>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</si>
  <si>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</si>
  <si>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</si>
  <si>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</si>
  <si>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</si>
  <si>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</si>
  <si>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</si>
  <si>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</si>
  <si>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</si>
  <si>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</si>
  <si>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</si>
  <si>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</si>
  <si>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</si>
  <si>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</si>
  <si>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</si>
  <si>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</si>
  <si>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</si>
  <si>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</si>
  <si>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</si>
  <si>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</si>
  <si>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</si>
  <si>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</si>
  <si>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</si>
  <si>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</si>
  <si>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</si>
  <si>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</si>
  <si>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</si>
  <si>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</si>
  <si>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</si>
  <si>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</si>
  <si>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</si>
  <si>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</si>
  <si>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</si>
  <si>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</si>
  <si>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</si>
  <si>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</si>
  <si>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</si>
  <si>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</si>
  <si>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</si>
  <si>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</si>
  <si>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</si>
  <si>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</si>
  <si>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</si>
  <si>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</si>
  <si>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</si>
  <si>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</si>
  <si>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</si>
  <si>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</si>
  <si>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</si>
  <si>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</si>
  <si>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</si>
  <si>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</si>
  <si>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</si>
  <si>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</si>
  <si>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</si>
  <si>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</si>
  <si>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</si>
  <si>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</si>
  <si>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</si>
  <si>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</si>
  <si>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</si>
  <si>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</si>
  <si>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</si>
  <si>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</si>
  <si>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</si>
  <si>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</si>
  <si>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</si>
  <si>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</si>
  <si>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</si>
  <si>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</si>
  <si>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</si>
  <si>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</si>
  <si>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</si>
  <si>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</si>
  <si>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</si>
  <si>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</si>
  <si>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</si>
  <si>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</si>
  <si>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</si>
  <si>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</si>
  <si>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</si>
  <si>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</si>
  <si>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</si>
  <si>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</si>
  <si>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</si>
  <si>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</si>
  <si>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</si>
  <si>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</si>
  <si>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</si>
  <si>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</si>
  <si>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</si>
  <si>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</si>
  <si>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</si>
  <si>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</si>
  <si>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</si>
  <si>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</si>
  <si>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</si>
  <si>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</si>
  <si>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</si>
  <si>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</si>
  <si>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</si>
  <si>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</si>
  <si>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</si>
  <si>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</si>
  <si>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</si>
  <si>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</si>
  <si>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</si>
  <si>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</si>
  <si>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</si>
  <si>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</si>
  <si>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</si>
  <si>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</si>
  <si>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</si>
  <si>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</si>
  <si>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</si>
  <si>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</si>
  <si>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</si>
  <si>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</si>
  <si>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</si>
  <si>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</si>
  <si>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</si>
  <si>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</si>
  <si>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</si>
  <si>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</si>
  <si>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</si>
  <si>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</si>
  <si>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</si>
  <si>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</si>
  <si>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</si>
  <si>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</si>
  <si>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</si>
  <si>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</si>
  <si>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</si>
  <si>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</si>
  <si>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</si>
  <si>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</si>
  <si>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</si>
  <si>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</si>
  <si>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</si>
  <si>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</si>
  <si>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</si>
  <si>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</si>
  <si>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</si>
  <si>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</si>
  <si>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</si>
  <si>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</si>
  <si>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</si>
  <si>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</si>
  <si>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</si>
  <si>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</si>
  <si>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</si>
  <si>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</si>
  <si>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</si>
  <si>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</si>
  <si>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</si>
  <si>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</si>
  <si>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</si>
  <si>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</si>
  <si>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</si>
  <si>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</si>
  <si>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</si>
  <si>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</si>
  <si>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</si>
  <si>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</si>
  <si>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</si>
  <si>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</si>
  <si>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</si>
  <si>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</si>
  <si>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</si>
  <si>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</si>
  <si>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</si>
  <si>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</si>
  <si>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</si>
  <si>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</si>
  <si>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</si>
  <si>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</si>
  <si>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</si>
  <si>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</si>
  <si>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</si>
  <si>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</si>
  <si>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</si>
  <si>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</si>
  <si>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</si>
  <si>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</si>
  <si>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</si>
  <si>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</si>
  <si>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</si>
  <si>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</si>
  <si>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</si>
  <si>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</si>
  <si>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</si>
  <si>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</si>
  <si>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</si>
  <si>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</si>
  <si>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</si>
  <si>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</si>
  <si>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</si>
  <si>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</si>
  <si>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</si>
  <si>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</si>
  <si>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</si>
  <si>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</si>
  <si>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</si>
  <si>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</si>
  <si>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</si>
  <si>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</si>
  <si>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</si>
  <si>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</si>
  <si>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</si>
  <si>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</si>
  <si>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</si>
  <si>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</si>
  <si>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</si>
  <si>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</si>
  <si>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</si>
  <si>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</si>
  <si>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</si>
  <si>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</si>
  <si>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</si>
  <si>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</si>
  <si>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</si>
  <si>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</si>
  <si>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</si>
  <si>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</si>
  <si>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</si>
  <si>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</si>
  <si>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</si>
  <si>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</si>
  <si>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</si>
  <si>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</si>
  <si>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</si>
  <si>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</si>
  <si>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</si>
  <si>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</si>
  <si>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</si>
  <si>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</si>
  <si>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</si>
  <si>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</si>
  <si>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</si>
  <si>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</si>
  <si>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</si>
  <si>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</si>
  <si>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</si>
  <si>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</si>
  <si>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</si>
  <si>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</si>
  <si>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</si>
  <si>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</si>
  <si>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</si>
  <si>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</si>
  <si>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</si>
  <si>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</si>
  <si>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</si>
  <si>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</si>
  <si>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</si>
  <si>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</si>
  <si>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</si>
  <si>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</si>
  <si>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</si>
  <si>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</si>
  <si>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</si>
  <si>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</si>
  <si>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</si>
  <si>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</si>
  <si>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</si>
  <si>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</si>
  <si>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</si>
  <si>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</si>
  <si>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</si>
  <si>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</si>
  <si>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</si>
  <si>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</si>
  <si>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</si>
  <si>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</si>
  <si>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</si>
  <si>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</si>
  <si>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</si>
  <si>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</si>
  <si>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</si>
  <si>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</si>
  <si>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</si>
  <si>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</si>
  <si>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</si>
  <si>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</si>
  <si>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</si>
  <si>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</si>
  <si>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</si>
  <si>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</si>
  <si>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</si>
  <si>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</si>
  <si>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</si>
  <si>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</si>
  <si>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</si>
  <si>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</si>
  <si>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</si>
  <si>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</si>
  <si>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</si>
  <si>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</si>
  <si>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</si>
  <si>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</si>
  <si>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</si>
  <si>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</si>
  <si>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</si>
  <si>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</si>
  <si>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</si>
  <si>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</si>
  <si>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</si>
  <si>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</si>
  <si>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</si>
  <si>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</si>
  <si>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</si>
  <si>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</si>
  <si>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</si>
  <si>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</si>
  <si>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</si>
  <si>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</si>
  <si>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</si>
  <si>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</si>
  <si>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</si>
  <si>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</si>
  <si>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</si>
  <si>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</si>
  <si>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</si>
  <si>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</si>
  <si>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</si>
  <si>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</si>
  <si>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</si>
  <si>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</si>
  <si>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</si>
  <si>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</si>
  <si>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</si>
  <si>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</si>
  <si>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</si>
  <si>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</si>
  <si>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</si>
  <si>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</si>
  <si>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</si>
  <si>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</si>
  <si>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</si>
  <si>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</si>
  <si>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</si>
  <si>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</si>
  <si>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</si>
  <si>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</si>
  <si>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</si>
  <si>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</si>
  <si>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</si>
  <si>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</si>
  <si>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</si>
  <si>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</si>
  <si>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</si>
  <si>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</si>
  <si>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</si>
  <si>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</si>
  <si>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</si>
  <si>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</si>
  <si>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</si>
  <si>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</si>
  <si>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</si>
  <si>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</si>
  <si>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</si>
  <si>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</si>
  <si>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</si>
  <si>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</si>
  <si>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</si>
  <si>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</si>
  <si>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</si>
  <si>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</si>
  <si>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</si>
  <si>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</si>
  <si>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</si>
  <si>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</si>
  <si>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</si>
  <si>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</si>
  <si>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</si>
  <si>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</si>
  <si>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</si>
  <si>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</si>
  <si>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</si>
  <si>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</si>
  <si>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</si>
  <si>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</si>
  <si>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</si>
  <si>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</si>
  <si>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</si>
  <si>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</si>
  <si>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</si>
  <si>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</si>
  <si>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</si>
  <si>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</si>
  <si>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</si>
  <si>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</si>
  <si>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</si>
  <si>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</si>
  <si>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</si>
  <si>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</si>
  <si>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</si>
  <si>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</si>
  <si>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</si>
  <si>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</si>
  <si>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</si>
  <si>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</si>
  <si>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</si>
  <si>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</si>
  <si>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</si>
  <si>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</si>
  <si>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</si>
  <si>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</si>
  <si>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</si>
  <si>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</si>
  <si>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</si>
  <si>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</si>
  <si>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</si>
  <si>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</si>
  <si>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</si>
  <si>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</si>
  <si>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</si>
  <si>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</si>
  <si>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</si>
  <si>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</si>
  <si>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</si>
  <si>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</si>
  <si>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</si>
  <si>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</si>
  <si>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</si>
  <si>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</si>
  <si>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</si>
  <si>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</si>
  <si>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</si>
  <si>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</si>
  <si>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</si>
  <si>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</si>
  <si>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</si>
  <si>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</si>
  <si>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</si>
  <si>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</si>
  <si>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</si>
  <si>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</si>
  <si>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</si>
  <si>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</si>
  <si>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</si>
  <si>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</si>
  <si>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</si>
  <si>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</si>
  <si>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</si>
  <si>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</si>
  <si>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</si>
  <si>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</si>
  <si>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</si>
  <si>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</si>
  <si>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</si>
  <si>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</si>
  <si>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</si>
  <si>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</si>
  <si>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</si>
  <si>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</si>
  <si>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</si>
  <si>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</si>
  <si>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</si>
  <si>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</si>
  <si>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</si>
  <si>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</si>
  <si>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</si>
  <si>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</si>
  <si>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</si>
  <si>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</si>
  <si>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</si>
  <si>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</si>
  <si>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</si>
  <si>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</si>
  <si>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</si>
  <si>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</si>
  <si>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</si>
  <si>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</si>
  <si>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</si>
  <si>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</si>
  <si>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</si>
  <si>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</si>
  <si>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</si>
  <si>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</si>
  <si>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</si>
  <si>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</si>
  <si>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</si>
  <si>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</si>
  <si>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</si>
  <si>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</si>
  <si>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</si>
  <si>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</si>
  <si>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</si>
  <si>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</si>
  <si>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</si>
  <si>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</si>
  <si>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</si>
  <si>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</si>
  <si>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</si>
  <si>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</si>
  <si>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</si>
  <si>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</si>
  <si>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</si>
  <si>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</si>
  <si>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</si>
  <si>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</si>
  <si>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</si>
  <si>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</si>
  <si>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</si>
  <si>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</si>
  <si>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</si>
  <si>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</si>
  <si>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</si>
  <si>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</si>
  <si>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</si>
  <si>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</si>
  <si>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</si>
  <si>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</si>
  <si>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</si>
  <si>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</si>
  <si>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</si>
  <si>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</si>
  <si>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</si>
  <si>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</si>
  <si>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</si>
  <si>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</si>
  <si>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</si>
  <si>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</si>
  <si>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</si>
  <si>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</si>
  <si>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</si>
  <si>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</si>
  <si>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</si>
  <si>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</si>
  <si>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</si>
  <si>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</si>
  <si>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</si>
  <si>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</si>
  <si>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</si>
  <si>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</si>
  <si>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</si>
  <si>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</si>
  <si>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</si>
  <si>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</si>
  <si>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</si>
  <si>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</si>
  <si>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</si>
  <si>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</si>
  <si>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</si>
  <si>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</si>
  <si>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</si>
  <si>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</si>
  <si>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</si>
  <si>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</si>
  <si>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</si>
  <si>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</si>
  <si>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</si>
  <si>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</si>
  <si>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</si>
  <si>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</si>
  <si>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</si>
  <si>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</si>
  <si>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</si>
  <si>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</si>
  <si>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</si>
  <si>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</si>
  <si>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</si>
  <si>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</si>
  <si>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</si>
  <si>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</si>
  <si>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</si>
  <si>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</si>
  <si>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</si>
  <si>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</si>
  <si>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</si>
  <si>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</si>
  <si>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</si>
  <si>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</si>
  <si>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</si>
  <si>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</si>
  <si>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</si>
  <si>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</si>
  <si>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</si>
  <si>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</si>
  <si>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</si>
  <si>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</si>
  <si>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</si>
  <si>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</si>
  <si>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</si>
  <si>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</si>
  <si>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</si>
  <si>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</si>
  <si>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</si>
  <si>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</si>
  <si>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</si>
  <si>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</si>
  <si>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</si>
  <si>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</si>
  <si>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</si>
  <si>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</si>
  <si>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</si>
  <si>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</si>
  <si>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</si>
  <si>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</si>
  <si>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</si>
  <si>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</si>
  <si>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</si>
  <si>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</si>
  <si>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</si>
  <si>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</si>
  <si>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</si>
  <si>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</si>
  <si>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</si>
  <si>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</si>
  <si>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</si>
  <si>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</si>
  <si>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</si>
  <si>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</si>
  <si>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</si>
  <si>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</si>
  <si>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</si>
  <si>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</si>
  <si>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</si>
  <si>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</si>
  <si>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</si>
  <si>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</si>
  <si>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</si>
  <si>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</si>
  <si>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</si>
  <si>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</si>
  <si>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</si>
  <si>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</si>
  <si>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</si>
  <si>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</si>
  <si>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</si>
  <si>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</si>
  <si>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</si>
  <si>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</si>
  <si>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</si>
  <si>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</si>
  <si>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</si>
  <si>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</si>
  <si>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</si>
  <si>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</si>
  <si>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</si>
  <si>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</si>
  <si>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</si>
  <si>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</si>
  <si>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</si>
  <si>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</si>
  <si>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</si>
  <si>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</si>
  <si>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</si>
  <si>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</si>
  <si>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</si>
  <si>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</si>
  <si>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</si>
  <si>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</si>
  <si>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</si>
  <si>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</si>
  <si>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</si>
  <si>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</si>
  <si>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</si>
  <si>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</si>
  <si>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</si>
  <si>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</si>
  <si>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</si>
  <si>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</si>
  <si>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</si>
  <si>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</si>
  <si>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</si>
  <si>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</si>
  <si>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</si>
  <si>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</si>
  <si>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</si>
  <si>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</si>
  <si>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</si>
  <si>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</si>
  <si>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</si>
  <si>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</si>
  <si>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</si>
  <si>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</si>
  <si>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</si>
  <si>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</si>
  <si>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</si>
  <si>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</si>
  <si>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</si>
  <si>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</si>
  <si>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</si>
  <si>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</si>
  <si>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</si>
  <si>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</si>
  <si>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</si>
  <si>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</si>
  <si>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</si>
  <si>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</si>
  <si>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</si>
  <si>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</si>
  <si>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</si>
  <si>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</si>
  <si>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</si>
  <si>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</si>
  <si>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</si>
  <si>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</si>
  <si>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</si>
  <si>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</si>
  <si>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</si>
  <si>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</si>
  <si>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</si>
  <si>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</si>
  <si>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</si>
  <si>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</si>
  <si>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</si>
  <si>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</si>
  <si>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</si>
  <si>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</si>
  <si>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</si>
  <si>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</si>
  <si>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</si>
  <si>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</si>
  <si>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</si>
  <si>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</si>
  <si>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</si>
  <si>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</si>
  <si>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</si>
  <si>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</si>
  <si>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</si>
  <si>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</si>
  <si>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</si>
  <si>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</si>
  <si>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</si>
  <si>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</si>
  <si>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</si>
  <si>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</si>
  <si>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</si>
  <si>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</si>
  <si>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</si>
  <si>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</si>
  <si>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</si>
  <si>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</si>
  <si>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</si>
  <si>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</si>
  <si>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</si>
  <si>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</si>
  <si>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</si>
  <si>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</si>
  <si>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</si>
  <si>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</si>
  <si>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</si>
  <si>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</si>
  <si>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</si>
  <si>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</si>
  <si>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</si>
  <si>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</si>
  <si>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</si>
  <si>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</si>
  <si>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</si>
  <si>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</si>
  <si>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</si>
  <si>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</si>
  <si>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</si>
  <si>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</si>
  <si>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</si>
  <si>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</si>
  <si>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</si>
  <si>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</si>
  <si>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</si>
  <si>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</si>
  <si>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</si>
  <si>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</si>
  <si>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</si>
  <si>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</si>
  <si>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</si>
  <si>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</si>
  <si>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</si>
  <si>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</si>
  <si>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</si>
  <si>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</si>
  <si>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</si>
  <si>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</si>
  <si>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</si>
  <si>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</si>
  <si>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</si>
  <si>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</si>
  <si>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</si>
  <si>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</si>
  <si>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</si>
  <si>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</si>
  <si>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</si>
  <si>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</si>
  <si>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</si>
  <si>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</si>
  <si>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</si>
  <si>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</si>
  <si>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</si>
  <si>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</si>
  <si>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</si>
  <si>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</si>
  <si>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</si>
  <si>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</si>
  <si>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</si>
  <si>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</si>
  <si>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</si>
  <si>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</si>
  <si>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</si>
  <si>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</si>
  <si>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</si>
  <si>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</si>
  <si>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</si>
  <si>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</si>
  <si>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</si>
  <si>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</si>
  <si>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</si>
  <si>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</si>
  <si>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</si>
  <si>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</si>
  <si>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</si>
  <si>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</si>
  <si>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</si>
  <si>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</si>
  <si>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</si>
  <si>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</si>
  <si>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</si>
  <si>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</si>
  <si>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</si>
  <si>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</si>
  <si>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</si>
  <si>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</si>
  <si>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</si>
  <si>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</si>
  <si>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</si>
  <si>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</si>
  <si>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</si>
  <si>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</si>
  <si>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</si>
  <si>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</si>
  <si>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</si>
  <si>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</si>
  <si>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</si>
  <si>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</si>
  <si>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</si>
  <si>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</si>
  <si>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</si>
  <si>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</si>
  <si>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</si>
  <si>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</si>
  <si>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</si>
  <si>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</si>
  <si>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</si>
  <si>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</si>
  <si>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</si>
  <si>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</si>
  <si>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</si>
  <si>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</si>
  <si>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</si>
  <si>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</si>
  <si>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</si>
  <si>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</si>
  <si>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</si>
  <si>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</si>
  <si>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</si>
  <si>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</si>
  <si>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</si>
  <si>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</si>
  <si>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</si>
  <si>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</si>
  <si>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</si>
  <si>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</si>
  <si>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</si>
  <si>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</si>
  <si>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</si>
  <si>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</si>
  <si>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</si>
  <si>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</si>
  <si>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</si>
  <si>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</si>
  <si>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</si>
  <si>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</si>
  <si>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</si>
  <si>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</si>
  <si>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</si>
  <si>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</si>
  <si>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</si>
  <si>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</si>
  <si>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</si>
  <si>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</si>
  <si>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</si>
  <si>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</si>
  <si>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</si>
  <si>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</si>
  <si>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</si>
  <si>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</si>
  <si>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</si>
  <si>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</si>
  <si>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</si>
  <si>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</si>
  <si>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</si>
  <si>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</si>
  <si>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</si>
  <si>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</si>
  <si>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</si>
  <si>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</si>
  <si>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</si>
  <si>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</si>
  <si>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</si>
  <si>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</si>
  <si>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</si>
  <si>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</si>
  <si>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</si>
  <si>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</si>
  <si>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</si>
  <si>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</si>
  <si>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</si>
  <si>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</si>
  <si>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</si>
  <si>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</si>
  <si>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</si>
  <si>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</si>
  <si>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</si>
  <si>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</si>
  <si>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</si>
  <si>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</si>
  <si>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</si>
  <si>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</si>
  <si>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</si>
  <si>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</si>
  <si>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</si>
  <si>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</si>
  <si>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</si>
  <si>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</si>
  <si>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</si>
  <si>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</si>
  <si>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</si>
  <si>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</si>
  <si>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</si>
  <si>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</si>
  <si>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</si>
  <si>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</si>
  <si>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</si>
  <si>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</si>
  <si>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</si>
  <si>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</si>
  <si>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</si>
  <si>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</si>
  <si>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</si>
  <si>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</si>
  <si>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</si>
  <si>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</si>
  <si>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</si>
  <si>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</si>
  <si>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</si>
  <si>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</si>
  <si>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</si>
  <si>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</si>
  <si>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</si>
  <si>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</si>
  <si>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</si>
  <si>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</si>
  <si>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</si>
  <si>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</si>
  <si>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</si>
  <si>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</si>
  <si>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</si>
  <si>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</si>
  <si>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</si>
  <si>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</si>
  <si>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</si>
  <si>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</si>
  <si>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</si>
  <si>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</si>
  <si>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</si>
  <si>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</si>
  <si>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</si>
  <si>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</si>
  <si>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</si>
  <si>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</si>
  <si>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</si>
  <si>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</si>
  <si>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</si>
  <si>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</si>
  <si>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</si>
  <si>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</si>
  <si>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</si>
  <si>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</si>
  <si>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</si>
  <si>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</si>
  <si>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</si>
  <si>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</si>
  <si>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</si>
  <si>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</si>
  <si>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</si>
  <si>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</si>
  <si>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</si>
  <si>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</si>
  <si>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</si>
  <si>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</si>
  <si>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</si>
  <si>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</si>
  <si>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</si>
  <si>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</si>
  <si>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</si>
  <si>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</si>
  <si>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</si>
  <si>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</si>
  <si>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</si>
  <si>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</si>
  <si>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</si>
  <si>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</si>
  <si>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</si>
  <si>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</si>
  <si>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</si>
  <si>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</si>
  <si>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</si>
  <si>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</si>
  <si>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</si>
  <si>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</si>
  <si>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</si>
  <si>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</si>
  <si>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</si>
  <si>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</si>
  <si>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</si>
  <si>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</si>
  <si>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</si>
  <si>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</si>
  <si>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</si>
  <si>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</si>
  <si>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</si>
  <si>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</si>
  <si>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</si>
  <si>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</si>
  <si>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</si>
  <si>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</si>
  <si>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</si>
  <si>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</si>
  <si>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</si>
  <si>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</si>
  <si>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</si>
  <si>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</si>
  <si>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</si>
  <si>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</si>
  <si>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</si>
  <si>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</si>
  <si>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</si>
  <si>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</si>
  <si>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</si>
  <si>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</si>
  <si>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</si>
  <si>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</si>
  <si>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</si>
  <si>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</si>
  <si>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</si>
  <si>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</si>
  <si>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</si>
  <si>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</si>
  <si>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</si>
  <si>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</si>
  <si>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</si>
  <si>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</si>
  <si>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</si>
  <si>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</si>
  <si>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</si>
  <si>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</si>
  <si>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</si>
  <si>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</si>
  <si>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</si>
  <si>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</si>
  <si>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</si>
  <si>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</si>
  <si>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</si>
  <si>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</si>
  <si>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</si>
  <si>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</si>
  <si>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</si>
  <si>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</si>
  <si>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</si>
  <si>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</si>
  <si>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</si>
  <si>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</si>
  <si>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</si>
  <si>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</si>
  <si>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</si>
  <si>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</si>
  <si>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</si>
  <si>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</si>
  <si>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</si>
  <si>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</si>
  <si>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</si>
  <si>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</si>
  <si>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</si>
  <si>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</si>
  <si>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</si>
  <si>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</si>
  <si>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</si>
  <si>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</si>
  <si>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</si>
  <si>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</si>
  <si>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</si>
  <si>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</si>
  <si>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</si>
  <si>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</si>
  <si>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</si>
  <si>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</si>
  <si>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</si>
  <si>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</si>
  <si>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</si>
  <si>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</si>
  <si>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</si>
  <si>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</si>
  <si>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</si>
  <si>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</si>
  <si>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</si>
  <si>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</si>
  <si>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</si>
  <si>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</si>
  <si>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</si>
  <si>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</si>
  <si>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</si>
  <si>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</si>
  <si>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</si>
  <si>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</si>
  <si>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</si>
  <si>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</si>
  <si>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</si>
  <si>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</si>
  <si>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</si>
  <si>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</si>
  <si>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</si>
  <si>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</si>
  <si>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</si>
  <si>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</si>
  <si>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</si>
  <si>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</si>
  <si>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</si>
  <si>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</si>
  <si>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</si>
  <si>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</si>
  <si>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</si>
  <si>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</si>
  <si>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</si>
  <si>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</si>
  <si>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</si>
  <si>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</si>
  <si>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</si>
  <si>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</si>
  <si>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</si>
  <si>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</si>
  <si>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</si>
  <si>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</si>
  <si>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</si>
  <si>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</si>
  <si>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</si>
  <si>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</si>
  <si>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</si>
  <si>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</si>
  <si>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</si>
  <si>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</si>
  <si>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</si>
  <si>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</si>
  <si>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</si>
  <si>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</si>
  <si>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</si>
  <si>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</si>
  <si>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</si>
  <si>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</si>
  <si>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</si>
  <si>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</si>
  <si>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</si>
  <si>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</si>
  <si>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</si>
  <si>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</si>
  <si>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</si>
  <si>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</si>
  <si>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</si>
  <si>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</si>
  <si>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</si>
  <si>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</si>
  <si>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</si>
  <si>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</si>
  <si>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</si>
  <si>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</si>
  <si>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</si>
  <si>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</si>
  <si>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</si>
  <si>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</si>
  <si>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</si>
  <si>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</si>
  <si>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</si>
  <si>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</si>
  <si>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</si>
  <si>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</si>
  <si>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</si>
  <si>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</si>
  <si>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</si>
  <si>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</si>
  <si>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</si>
  <si>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</si>
  <si>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</si>
  <si>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</si>
  <si>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</si>
  <si>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</si>
  <si>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</si>
  <si>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</si>
  <si>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</si>
  <si>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</si>
  <si>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</si>
  <si>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</si>
  <si>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</si>
  <si>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</si>
  <si>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</si>
  <si>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</si>
  <si>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</si>
  <si>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</si>
  <si>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</si>
  <si>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</si>
  <si>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</si>
  <si>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</si>
  <si>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</si>
  <si>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</si>
  <si>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</si>
  <si>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</si>
  <si>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</si>
  <si>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</si>
  <si>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</si>
  <si>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</si>
  <si>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</si>
  <si>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</si>
  <si>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</si>
  <si>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</si>
  <si>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</si>
  <si>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</si>
  <si>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</si>
  <si>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</si>
  <si>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</si>
  <si>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</si>
  <si>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</si>
  <si>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</si>
  <si>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</si>
  <si>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</si>
  <si>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</si>
  <si>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</si>
  <si>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</si>
  <si>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</si>
  <si>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</si>
  <si>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</si>
  <si>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</si>
  <si>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</si>
  <si>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</si>
  <si>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</si>
  <si>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</si>
  <si>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</si>
  <si>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</si>
  <si>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</si>
  <si>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</si>
  <si>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</si>
  <si>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</si>
  <si>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</si>
  <si>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</si>
  <si>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</si>
  <si>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</si>
  <si>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</si>
  <si>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</si>
  <si>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</si>
  <si>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</si>
  <si>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</si>
  <si>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</si>
  <si>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</si>
  <si>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</si>
  <si>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</si>
  <si>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</si>
  <si>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</si>
  <si>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</si>
  <si>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</si>
  <si>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</si>
  <si>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</si>
  <si>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</si>
  <si>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</si>
  <si>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</si>
  <si>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</si>
  <si>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</si>
  <si>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</si>
  <si>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</si>
  <si>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</si>
  <si>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</si>
  <si>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</si>
  <si>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</si>
  <si>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</si>
  <si>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</si>
  <si>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</si>
  <si>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</si>
  <si>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</si>
  <si>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</si>
  <si>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</si>
  <si>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</si>
  <si>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</si>
  <si>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</si>
  <si>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</si>
  <si>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</si>
  <si>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</si>
  <si>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</si>
  <si>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</si>
  <si>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</si>
  <si>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</si>
  <si>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</si>
  <si>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</si>
  <si>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</si>
  <si>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</si>
  <si>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</si>
  <si>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</si>
  <si>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</si>
  <si>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</si>
  <si>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</si>
  <si>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</si>
  <si>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</si>
  <si>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</si>
  <si>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</si>
  <si>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</si>
  <si>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</si>
  <si>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</si>
  <si>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</si>
  <si>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</si>
  <si>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</si>
  <si>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</si>
  <si>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</si>
  <si>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</si>
  <si>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</si>
  <si>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</si>
  <si>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</si>
  <si>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</si>
  <si>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</si>
  <si>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</si>
  <si>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</si>
  <si>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</si>
  <si>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</si>
  <si>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</si>
  <si>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</si>
  <si>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</si>
  <si>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</si>
  <si>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</si>
  <si>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</si>
  <si>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</si>
  <si>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</si>
  <si>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</si>
  <si>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</si>
  <si>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</si>
  <si>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</si>
  <si>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</si>
  <si>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</si>
  <si>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</si>
  <si>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</si>
  <si>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</si>
  <si>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</si>
  <si>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</si>
  <si>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</si>
  <si>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</si>
  <si>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</si>
  <si>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</si>
  <si>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</si>
  <si>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</si>
  <si>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</si>
  <si>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</si>
  <si>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</si>
  <si>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</si>
  <si>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</si>
  <si>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</si>
  <si>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</si>
  <si>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</si>
  <si>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</si>
  <si>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</si>
  <si>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</si>
  <si>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</si>
  <si>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</si>
  <si>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</si>
  <si>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</si>
  <si>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</si>
  <si>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</si>
  <si>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</si>
  <si>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</si>
  <si>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</si>
  <si>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</si>
  <si>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</si>
  <si>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</si>
  <si>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</si>
  <si>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</si>
  <si>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</si>
  <si>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</si>
  <si>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</si>
  <si>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</si>
  <si>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</si>
  <si>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</si>
  <si>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</si>
  <si>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</si>
  <si>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</si>
  <si>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</si>
  <si>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</si>
  <si>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</si>
  <si>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</si>
  <si>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</si>
  <si>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</si>
  <si>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</si>
  <si>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</si>
  <si>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</si>
  <si>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</si>
  <si>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</si>
  <si>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</si>
  <si>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</si>
  <si>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</si>
  <si>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</si>
  <si>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</si>
  <si>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</si>
  <si>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</si>
  <si>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</si>
  <si>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</si>
  <si>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</si>
  <si>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</si>
  <si>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</si>
  <si>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</si>
  <si>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</si>
  <si>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</si>
  <si>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</si>
  <si>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</si>
  <si>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</si>
  <si>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</si>
  <si>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</si>
  <si>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</si>
  <si>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</si>
  <si>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</si>
  <si>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</si>
  <si>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</si>
  <si>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</si>
  <si>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</si>
  <si>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</si>
  <si>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</si>
  <si>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</si>
  <si>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</si>
  <si>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</si>
  <si>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</si>
  <si>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</si>
  <si>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</si>
  <si>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</si>
  <si>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</si>
  <si>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</si>
  <si>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</si>
  <si>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</si>
  <si>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</si>
  <si>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</si>
  <si>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</si>
  <si>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</si>
  <si>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</si>
  <si>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</si>
  <si>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</si>
  <si>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</si>
  <si>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</si>
  <si>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</si>
  <si>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</si>
  <si>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</si>
  <si>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</si>
  <si>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</si>
  <si>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</si>
  <si>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</si>
  <si>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</si>
  <si>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</si>
  <si>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</si>
  <si>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</si>
  <si>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</si>
  <si>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</si>
  <si>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</si>
  <si>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</si>
  <si>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</si>
  <si>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</si>
  <si>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</si>
  <si>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</si>
  <si>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</si>
  <si>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</si>
  <si>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</si>
  <si>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</si>
  <si>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</si>
  <si>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</si>
  <si>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</si>
  <si>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</si>
  <si>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</si>
  <si>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</si>
  <si>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</si>
  <si>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</si>
  <si>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</si>
  <si>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</si>
  <si>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</si>
  <si>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</si>
  <si>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</si>
  <si>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</si>
  <si>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</si>
  <si>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</si>
  <si>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</si>
  <si>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</si>
  <si>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</si>
  <si>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</si>
  <si>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</si>
  <si>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</si>
  <si>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</si>
  <si>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</si>
  <si>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</si>
  <si>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</si>
  <si>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</si>
  <si>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</si>
  <si>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</si>
  <si>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</si>
  <si>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</si>
  <si>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</si>
  <si>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</si>
  <si>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</si>
  <si>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</si>
  <si>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</si>
  <si>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</si>
  <si>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</si>
  <si>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</si>
  <si>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</si>
  <si>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</si>
  <si>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</si>
  <si>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</si>
  <si>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</si>
  <si>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</si>
  <si>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</si>
  <si>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</si>
  <si>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</si>
  <si>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</si>
  <si>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</si>
  <si>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</si>
  <si>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</si>
  <si>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</si>
  <si>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</si>
  <si>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</si>
  <si>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</si>
  <si>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</si>
  <si>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</si>
  <si>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</si>
  <si>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</si>
  <si>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</si>
  <si>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</si>
  <si>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</si>
  <si>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</si>
  <si>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</si>
  <si>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</si>
  <si>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</si>
  <si>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</si>
  <si>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</si>
  <si>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</si>
  <si>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</si>
  <si>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</si>
  <si>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</si>
  <si>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</si>
  <si>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</si>
  <si>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</si>
  <si>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</si>
  <si>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</si>
  <si>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</si>
  <si>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</si>
  <si>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</si>
  <si>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</si>
  <si>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</si>
  <si>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</si>
  <si>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</si>
  <si>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</si>
  <si>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</si>
  <si>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</si>
  <si>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</si>
  <si>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</si>
  <si>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</si>
  <si>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</si>
  <si>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</si>
  <si>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</si>
  <si>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</si>
  <si>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</si>
  <si>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</si>
  <si>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</si>
  <si>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</si>
  <si>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</si>
  <si>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</si>
  <si>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</si>
  <si>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</si>
  <si>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</si>
  <si>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</si>
  <si>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</si>
  <si>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</si>
  <si>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</si>
  <si>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</si>
  <si>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</si>
  <si>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</si>
  <si>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</si>
  <si>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</si>
  <si>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</si>
  <si>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</si>
  <si>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</si>
  <si>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</si>
  <si>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</si>
  <si>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</si>
  <si>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</si>
  <si>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</si>
  <si>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</si>
  <si>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</si>
  <si>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</si>
  <si>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</si>
  <si>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</si>
  <si>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</si>
  <si>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</si>
  <si>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</si>
  <si>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</si>
  <si>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</si>
  <si>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</si>
  <si>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</si>
  <si>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</si>
  <si>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</si>
  <si>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</si>
  <si>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</si>
  <si>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</si>
  <si>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</si>
  <si>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</si>
  <si>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</si>
  <si>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</si>
  <si>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</si>
  <si>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</si>
  <si>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</si>
  <si>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</si>
  <si>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</si>
  <si>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</si>
  <si>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</si>
  <si>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</si>
  <si>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</si>
  <si>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</si>
  <si>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</si>
  <si>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</si>
  <si>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</si>
  <si>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</si>
  <si>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</si>
  <si>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</si>
  <si>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</si>
  <si>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</si>
  <si>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</si>
  <si>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</si>
  <si>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</si>
  <si>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</si>
  <si>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</si>
  <si>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</si>
  <si>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</si>
  <si>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</si>
  <si>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</si>
  <si>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</si>
  <si>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</si>
  <si>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</si>
  <si>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</si>
  <si>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</si>
  <si>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</si>
  <si>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</si>
  <si>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</si>
  <si>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</si>
  <si>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</si>
  <si>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</si>
  <si>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</si>
  <si>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</si>
  <si>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</si>
  <si>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</si>
  <si>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</si>
  <si>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</si>
  <si>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</si>
  <si>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</si>
  <si>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</si>
  <si>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</si>
  <si>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</si>
  <si>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</si>
  <si>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</si>
  <si>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</si>
  <si>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</si>
  <si>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</si>
  <si>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</si>
  <si>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</si>
  <si>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</si>
  <si>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</si>
  <si>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</si>
  <si>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</si>
  <si>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</si>
  <si>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</si>
  <si>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</si>
  <si>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</si>
  <si>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</si>
  <si>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</si>
  <si>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</si>
  <si>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</si>
  <si>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</si>
  <si>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</si>
  <si>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</si>
  <si>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</si>
  <si>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</si>
  <si>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</si>
  <si>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</si>
  <si>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</si>
  <si>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</si>
  <si>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</si>
  <si>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</si>
  <si>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</si>
  <si>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</si>
  <si>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</si>
  <si>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</si>
  <si>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</si>
  <si>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</si>
  <si>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</si>
  <si>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</si>
  <si>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</si>
  <si>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</si>
  <si>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</si>
  <si>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</si>
  <si>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</si>
  <si>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</si>
  <si>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</si>
  <si>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</si>
  <si>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</si>
  <si>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</si>
  <si>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</si>
  <si>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</si>
  <si>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</si>
  <si>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</si>
  <si>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</si>
  <si>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</si>
  <si>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</si>
  <si>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</si>
  <si>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</si>
  <si>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</si>
  <si>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</si>
  <si>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</si>
  <si>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</si>
  <si>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</si>
  <si>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</si>
  <si>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</si>
  <si>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</si>
  <si>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</si>
  <si>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</si>
  <si>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</si>
  <si>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</si>
  <si>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</si>
  <si>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</si>
  <si>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</si>
  <si>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</si>
  <si>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</si>
  <si>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</si>
  <si>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</si>
  <si>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</si>
  <si>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</si>
  <si>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</si>
  <si>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</si>
  <si>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</si>
  <si>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</si>
  <si>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</si>
  <si>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</si>
  <si>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</si>
  <si>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</si>
  <si>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</si>
  <si>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</si>
  <si>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</si>
  <si>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</si>
  <si>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</si>
  <si>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</si>
  <si>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</si>
  <si>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</si>
  <si>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</si>
  <si>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</si>
  <si>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</si>
  <si>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</si>
  <si>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</si>
  <si>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</si>
  <si>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</si>
  <si>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</si>
  <si>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</si>
  <si>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</si>
  <si>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</si>
  <si>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</si>
  <si>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</si>
  <si>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</si>
  <si>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</si>
  <si>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</si>
  <si>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</si>
  <si>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</si>
  <si>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</si>
  <si>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</si>
  <si>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</si>
  <si>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</si>
  <si>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</si>
  <si>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</si>
  <si>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</si>
  <si>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</si>
  <si>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</si>
  <si>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</si>
  <si>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</si>
  <si>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</si>
  <si>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</si>
  <si>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</si>
  <si>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</si>
  <si>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</si>
  <si>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</si>
  <si>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</si>
  <si>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</si>
  <si>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</si>
  <si>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</si>
  <si>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</si>
  <si>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</si>
  <si>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</si>
  <si>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</si>
  <si>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</si>
  <si>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</si>
  <si>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</si>
  <si>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</si>
  <si>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</si>
  <si>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</si>
  <si>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</si>
  <si>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</si>
  <si>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</si>
  <si>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</si>
  <si>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</si>
  <si>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</si>
  <si>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</si>
  <si>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</si>
  <si>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</si>
  <si>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</si>
  <si>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</si>
  <si>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</si>
  <si>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</si>
  <si>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</si>
  <si>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</si>
  <si>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</si>
  <si>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</si>
  <si>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</si>
  <si>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</si>
  <si>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</si>
  <si>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</si>
  <si>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</si>
  <si>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</si>
  <si>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</si>
  <si>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</si>
  <si>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</si>
  <si>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</si>
  <si>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</si>
  <si>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</si>
  <si>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</si>
  <si>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</si>
  <si>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</si>
  <si>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</si>
  <si>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</si>
  <si>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</si>
  <si>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</si>
  <si>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</si>
  <si>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</si>
  <si>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</si>
  <si>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</si>
  <si>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</si>
  <si>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</si>
  <si>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</si>
  <si>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</si>
  <si>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</si>
  <si>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</si>
  <si>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</si>
  <si>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</si>
  <si>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</si>
  <si>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</si>
  <si>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</si>
  <si>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</si>
  <si>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</si>
  <si>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</si>
  <si>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</si>
  <si>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</si>
  <si>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</si>
  <si>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</si>
  <si>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</si>
  <si>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</si>
  <si>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</si>
  <si>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</si>
  <si>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</si>
  <si>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</si>
  <si>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</si>
  <si>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</si>
  <si>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</si>
  <si>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</si>
  <si>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</si>
  <si>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</si>
  <si>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</si>
  <si>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</si>
  <si>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</si>
  <si>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</si>
  <si>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</si>
  <si>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</si>
  <si>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</si>
  <si>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</si>
  <si>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</si>
  <si>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</si>
  <si>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</si>
  <si>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</si>
  <si>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</si>
  <si>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</si>
  <si>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</si>
  <si>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</si>
  <si>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</si>
  <si>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</si>
  <si>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</si>
  <si>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</si>
  <si>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</si>
  <si>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</si>
  <si>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</si>
  <si>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</si>
  <si>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</si>
  <si>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</si>
  <si>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</si>
  <si>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</si>
  <si>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</si>
  <si>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</si>
  <si>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</si>
  <si>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</si>
  <si>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</si>
  <si>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</si>
  <si>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</si>
  <si>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</si>
  <si>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</si>
  <si>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</si>
  <si>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</si>
  <si>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</si>
  <si>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</si>
  <si>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</si>
  <si>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</si>
  <si>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</si>
  <si>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</si>
  <si>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</si>
  <si>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</si>
  <si>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</si>
  <si>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</si>
  <si>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</si>
  <si>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</si>
  <si>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</si>
  <si>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</si>
  <si>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</si>
  <si>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</si>
  <si>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</si>
  <si>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</si>
  <si>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</si>
  <si>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</si>
  <si>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</si>
  <si>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</si>
  <si>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</si>
  <si>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</si>
  <si>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</si>
  <si>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</si>
  <si>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</si>
  <si>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</si>
  <si>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</si>
  <si>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</si>
  <si>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</si>
  <si>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</si>
  <si>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</si>
  <si>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</si>
  <si>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</si>
  <si>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</si>
  <si>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</si>
  <si>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</si>
  <si>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Removed duplicates, used the clean function and also trim function to remove unwanted data</t>
  </si>
  <si>
    <t>Resolved</t>
  </si>
  <si>
    <t>Preserved 1200 records. Removed recurring data records or rows, and removed all trailing spaces and unprintable characters.</t>
  </si>
  <si>
    <t>Changed all columns to their respective data type according.  Codes to general type, texts, dates, numbers and currency accordingly too.</t>
  </si>
  <si>
    <t>All columns are now ready for corresponding analysis</t>
  </si>
  <si>
    <t>Identified and replaced "null" values in coupon-code column with "no coupon"</t>
  </si>
  <si>
    <t>Preserved the content with industry related word and replaced 309 blanks with No Coupon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</si>
  <si>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</si>
  <si>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</si>
  <si>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</si>
  <si>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</si>
  <si>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</si>
  <si>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</si>
  <si>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</si>
  <si>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</si>
  <si>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</si>
  <si>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</si>
  <si>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</si>
  <si>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</si>
  <si>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</si>
  <si>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Items In Cart</t>
  </si>
  <si>
    <t>Total Price</t>
  </si>
  <si>
    <t>Descriptive Statistics</t>
  </si>
  <si>
    <t>CR004</t>
  </si>
  <si>
    <t>Used descriptive statistics to summarize quantitative data</t>
  </si>
  <si>
    <t>Obtained the mean, median, sum, range, interquartile ranges and bounds</t>
  </si>
  <si>
    <t>CR005</t>
  </si>
  <si>
    <t>CR006</t>
  </si>
  <si>
    <t>Total Number of Order</t>
  </si>
  <si>
    <t>Total Ordered Products</t>
  </si>
  <si>
    <t>(Multiple Items)</t>
  </si>
  <si>
    <t xml:space="preserve">Total Coupon </t>
  </si>
  <si>
    <t>No Coupon Orders</t>
  </si>
  <si>
    <t>1st Quartile</t>
  </si>
  <si>
    <t>2nd Quartile</t>
  </si>
  <si>
    <t>3rd Quartile</t>
  </si>
  <si>
    <t xml:space="preserve"> </t>
  </si>
  <si>
    <t>Determined the upper, lower bounds and outliers present in the dataset</t>
  </si>
  <si>
    <t>Upper Bound</t>
  </si>
  <si>
    <t>Lower Bound</t>
  </si>
  <si>
    <t>I.Q.R</t>
  </si>
  <si>
    <t>Determined outliers were investigated to determine errors or legitimate high value orders.</t>
  </si>
  <si>
    <t xml:space="preserve">Easy comparism of different columns for required insights </t>
  </si>
  <si>
    <t>Column Labels</t>
  </si>
  <si>
    <t>Grand Total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</si>
  <si>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</si>
  <si>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</si>
  <si>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</si>
  <si>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</si>
  <si>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</si>
  <si>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</si>
  <si>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</si>
  <si>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</si>
  <si>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</si>
  <si>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</si>
  <si>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</si>
  <si>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</si>
  <si>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</si>
  <si>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</si>
  <si>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</si>
  <si>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</si>
  <si>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Months</t>
  </si>
  <si>
    <t>Total Order</t>
  </si>
  <si>
    <t>% Revenue</t>
  </si>
  <si>
    <t>Products</t>
  </si>
  <si>
    <t>Order Status</t>
  </si>
  <si>
    <t xml:space="preserve">  </t>
  </si>
  <si>
    <t>% of Order</t>
  </si>
  <si>
    <t>Added datasets to pivot tables to enable easy exploratory data analysis</t>
  </si>
  <si>
    <t>Customer Acquisition Channel</t>
  </si>
  <si>
    <t>Revenue Performance By Customer Acquisition Channel</t>
  </si>
  <si>
    <t>Order Fulfilment Status</t>
  </si>
  <si>
    <t>Payment Method</t>
  </si>
  <si>
    <t>Coupon Code</t>
  </si>
  <si>
    <t>Promotional Offer Usage Status</t>
  </si>
  <si>
    <t>Sales By Payment Method</t>
  </si>
  <si>
    <t>Annual Revenue Performance</t>
  </si>
  <si>
    <t>CR007</t>
  </si>
  <si>
    <t>Produced various charts for summarizing and representing insights</t>
  </si>
  <si>
    <t>1 Box plot, 1 line graph, 1 doughnut chart, and 6 bar charts produced</t>
  </si>
  <si>
    <t>Outliers In Total Price</t>
  </si>
  <si>
    <t>% Order Value</t>
  </si>
  <si>
    <t>Total Order Value</t>
  </si>
  <si>
    <t>Order Value By Month</t>
  </si>
  <si>
    <t>Average of Order Value</t>
  </si>
  <si>
    <t>CR008</t>
  </si>
  <si>
    <t>Designed the order performance dashboard</t>
  </si>
  <si>
    <t>A professional executive overview dashboard, containing all major order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</si>
</sst>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&quot;$&quot;#,##0.00"/>
    <numFmt numFmtId="166" formatCode="0.000000"/>
    <numFmt numFmtId="167" formatCode="0.0"/>
    <numFmt numFmtId="168" formatCode="#,##0;[Red]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5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1" applyNumberFormat="1" applyFont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7" fontId="0" fillId="0" borderId="0" xfId="0" applyNumberFormat="1"/>
    <xf numFmtId="2" fontId="0" fillId="0" borderId="7" xfId="0" applyNumberFormat="1" applyBorder="1"/>
    <xf numFmtId="0" fontId="0" fillId="0" borderId="0" xfId="0" pivotButton="1"/>
    <xf numFmtId="1" fontId="0" fillId="0" borderId="0" xfId="0" applyNumberFormat="1"/>
    <xf numFmtId="168" fontId="0" fillId="0" borderId="0" xfId="0" applyNumberFormat="1"/>
    <xf numFmtId="0" fontId="0" fillId="0" borderId="0" xfId="1" applyNumberFormat="1" applyFont="1"/>
    <xf numFmtId="0" fontId="1" fillId="0" borderId="0" xfId="0" applyFont="1" applyAlignment="1">
      <alignment horizontal="center"/>
    </xf>
    <xf numFmtId="168" fontId="4" fillId="0" borderId="0" xfId="0" applyNumberFormat="1" applyFont="1"/>
    <xf numFmtId="0" fontId="1" fillId="2" borderId="0" xfId="0" applyFont="1" applyFill="1"/>
    <xf numFmtId="0" fontId="0" fillId="2" borderId="6" xfId="0" applyFill="1" applyBorder="1"/>
    <xf numFmtId="0" fontId="0" fillId="2" borderId="0" xfId="0" applyFill="1"/>
    <xf numFmtId="0" fontId="0" fillId="2" borderId="7" xfId="0" applyFill="1" applyBorder="1"/>
    <xf numFmtId="2" fontId="0" fillId="2" borderId="0" xfId="0" applyNumberFormat="1" applyFill="1"/>
    <xf numFmtId="2" fontId="0" fillId="2" borderId="7" xfId="0" applyNumberFormat="1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9" xfId="0" applyFill="1" applyBorder="1"/>
    <xf numFmtId="0" fontId="1" fillId="2" borderId="10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10" fontId="0" fillId="4" borderId="0" xfId="0" applyNumberFormat="1" applyFill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NumberFormat="1"/>
    <xf numFmtId="0" fontId="0" fillId="4" borderId="0" xfId="0" applyNumberFormat="1" applyFill="1"/>
  </cellXfs>
  <cellStyles count="2">
    <cellStyle name="Currency" xfId="1" builtinId="4"/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</dxfs>
  <tableStyles count="0" defaultTableStyle="TableStyleMedium9" defaultPivotStyle="PivotStyleLight16"/>
  <colors>
    <mruColors>
      <color rgb="FFFF5050"/>
      <color rgb="FF00602B"/>
      <color rgb="FF80F836"/>
      <color rgb="FFC7FC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14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ivotCacheDefinition" Target="pivotCache/pivotCacheDefinition15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Monthly Total Order Value By Year</a:t>
            </a:r>
          </a:p>
        </c:rich>
      </c:tx>
      <c:layout>
        <c:manualLayout>
          <c:xMode val="edge"/>
          <c:yMode val="edge"/>
          <c:x val="0.23736049150249933"/>
          <c:y val="2.8202443973237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rgbClr val="00B05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solidFill>
              <a:srgbClr val="00B050"/>
            </a:solidFill>
            <a:ln w="9525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rgbClr val="0070C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solidFill>
              <a:srgbClr val="0070C0"/>
            </a:solidFill>
            <a:ln w="9525">
              <a:solidFill>
                <a:srgbClr val="0070C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rgbClr val="00B05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solidFill>
              <a:srgbClr val="00B050"/>
            </a:solidFill>
            <a:ln w="9525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rgbClr val="00B05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solidFill>
              <a:srgbClr val="00B050"/>
            </a:solidFill>
            <a:ln w="9525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rgbClr val="0070C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solidFill>
              <a:srgbClr val="0070C0"/>
            </a:solidFill>
            <a:ln w="9525">
              <a:solidFill>
                <a:srgbClr val="0070C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rgbClr val="00B05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rgbClr val="00B050"/>
            </a:solidFill>
            <a:ln w="9525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rgbClr val="0070C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rgbClr val="0070C0"/>
            </a:solidFill>
            <a:ln w="9525">
              <a:solidFill>
                <a:srgbClr val="0070C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500563892243682E-2"/>
          <c:y val="5.6284740939739661E-2"/>
          <c:w val="0.89191473269356436"/>
          <c:h val="0.8467782248196786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Tables'!$B$6:$B$7</c:f>
              <c:strCache>
                <c:ptCount val="1"/>
                <c:pt idx="0">
                  <c:v>2023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Tables'!$B$8:$B$20</c:f>
              <c:numCache>
                <c:formatCode>General</c:formatCode>
                <c:ptCount val="12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0A-4DD2-B99D-76A21F43B9B2}"/>
            </c:ext>
          </c:extLst>
        </c:ser>
        <c:ser>
          <c:idx val="1"/>
          <c:order val="1"/>
          <c:tx>
            <c:strRef>
              <c:f>'Pivot Tables'!$C$6:$C$7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Tables'!$C$8:$C$20</c:f>
              <c:numCache>
                <c:formatCode>General</c:formatCode>
                <c:ptCount val="12"/>
                <c:pt idx="0">
                  <c:v>38528.080000000002</c:v>
                </c:pt>
                <c:pt idx="1">
                  <c:v>36909.57</c:v>
                </c:pt>
                <c:pt idx="2">
                  <c:v>36030.9</c:v>
                </c:pt>
                <c:pt idx="3">
                  <c:v>49613.14</c:v>
                </c:pt>
                <c:pt idx="4">
                  <c:v>27909.11</c:v>
                </c:pt>
                <c:pt idx="5">
                  <c:v>68068.539999999994</c:v>
                </c:pt>
                <c:pt idx="6">
                  <c:v>42963.98</c:v>
                </c:pt>
                <c:pt idx="7">
                  <c:v>31991.07</c:v>
                </c:pt>
                <c:pt idx="8">
                  <c:v>39794.980000000003</c:v>
                </c:pt>
                <c:pt idx="9">
                  <c:v>37226.97</c:v>
                </c:pt>
                <c:pt idx="10">
                  <c:v>32413.759999999998</c:v>
                </c:pt>
                <c:pt idx="11">
                  <c:v>38785.769999999997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A-4DD2-B99D-76A21F43B9B2}"/>
            </c:ext>
          </c:extLst>
        </c:ser>
        <c:ser>
          <c:idx val="2"/>
          <c:order val="2"/>
          <c:tx>
            <c:strRef>
              <c:f>'Pivot Tables'!$D$6:$D$7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rgbClr val="0070C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Tables'!$D$8:$D$20</c:f>
              <c:numCache>
                <c:formatCode>General</c:formatCode>
                <c:ptCount val="12"/>
                <c:pt idx="0">
                  <c:v>29099.4</c:v>
                </c:pt>
                <c:pt idx="1">
                  <c:v>35317.550000000003</c:v>
                </c:pt>
                <c:pt idx="2">
                  <c:v>39200.660000000003</c:v>
                </c:pt>
                <c:pt idx="3">
                  <c:v>31821.200000000001</c:v>
                </c:pt>
                <c:pt idx="4">
                  <c:v>43396.639999999999</c:v>
                </c:pt>
                <c:pt idx="5">
                  <c:v>53047.4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A-4DD2-B99D-76A21F43B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137055"/>
        <c:axId val="1963208432"/>
      </c:lineChart>
      <c:catAx>
        <c:axId val="4791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08432"/>
        <c:crosses val="autoZero"/>
        <c:auto val="1"/>
        <c:lblAlgn val="ctr"/>
        <c:lblOffset val="100"/>
        <c:noMultiLvlLbl val="0"/>
      </c:catAx>
      <c:valAx>
        <c:axId val="1963208432"/>
        <c:scaling>
          <c:orientation val="minMax"/>
          <c:max val="80000"/>
          <c:min val="2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37055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31240657698059"/>
          <c:y val="0.11466246655182574"/>
          <c:w val="0.1547085201793722"/>
          <c:h val="0.31026485843954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3175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layout>
        <c:manualLayout>
          <c:xMode val="edge"/>
          <c:yMode val="edge"/>
          <c:x val="0.16708768585190675"/>
          <c:y val="1.6501654453276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3175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Tables'!$A$23:$A$30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Tables'!$B$23:$B$30</c:f>
              <c:numCache>
                <c:formatCode>0.00%</c:formatCode>
                <c:ptCount val="7"/>
                <c:pt idx="0">
                  <c:v>0.15466950792859077</c:v>
                </c:pt>
                <c:pt idx="1">
                  <c:v>0.13240430634077577</c:v>
                </c:pt>
                <c:pt idx="2">
                  <c:v>0.15190728854621782</c:v>
                </c:pt>
                <c:pt idx="3">
                  <c:v>0.13888100334706463</c:v>
                </c:pt>
                <c:pt idx="4">
                  <c:v>0.11996122179386232</c:v>
                </c:pt>
                <c:pt idx="5">
                  <c:v>0.15466357795897023</c:v>
                </c:pt>
                <c:pt idx="6">
                  <c:v>0.14751309408451849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9-441D-8D8D-5B133897B1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3699487"/>
        <c:axId val="1760657743"/>
      </c:barChart>
      <c:catAx>
        <c:axId val="177369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57743"/>
        <c:crosses val="autoZero"/>
        <c:auto val="1"/>
        <c:lblAlgn val="ctr"/>
        <c:lblOffset val="100"/>
        <c:noMultiLvlLbl val="0"/>
      </c:catAx>
      <c:valAx>
        <c:axId val="1760657743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77369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3175"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 w="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n w="0">
                  <a:noFill/>
                </a:ln>
              </a:rPr>
              <a:t>Order Outcome</a:t>
            </a:r>
          </a:p>
        </c:rich>
      </c:tx>
      <c:layout>
        <c:manualLayout>
          <c:xMode val="edge"/>
          <c:yMode val="edge"/>
          <c:x val="0.21547622389171356"/>
          <c:y val="4.6694462740550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 w="0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Tables'!$I$11</c:f>
              <c:strCache>
                <c:ptCount val="1"/>
                <c:pt idx="0">
                  <c:v>Total Order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Tables'!$H$12:$H$17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Tables'!$I$12:$I$17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4-40B5-B79C-8637ABE91763}"/>
            </c:ext>
          </c:extLst>
        </c:ser>
        <c:ser>
          <c:idx val="1"/>
          <c:order val="1"/>
          <c:tx>
            <c:strRef>
              <c:f>'Pivot Tables'!$J$11</c:f>
              <c:strCache>
                <c:ptCount val="1"/>
                <c:pt idx="0">
                  <c:v>Order Fulfilment Status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Tables'!$H$12:$H$17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Tables'!$J$12:$J$17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4-40B5-B79C-8637ABE917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27255103"/>
        <c:axId val="290118095"/>
      </c:barChart>
      <c:catAx>
        <c:axId val="32725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18095"/>
        <c:crosses val="autoZero"/>
        <c:auto val="1"/>
        <c:lblAlgn val="ctr"/>
        <c:lblOffset val="100"/>
        <c:noMultiLvlLbl val="0"/>
      </c:catAx>
      <c:valAx>
        <c:axId val="290118095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55103"/>
        <c:crosses val="autoZero"/>
        <c:crossBetween val="between"/>
        <c:majorUnit val="50"/>
        <c:min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0">
            <a:solidFill>
              <a:schemeClr val="tx1">
                <a:lumMod val="95000"/>
                <a:lumOff val="5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Customer Acquisition Channel</a:t>
            </a:r>
          </a:p>
        </c:rich>
      </c:tx>
      <c:layout>
        <c:manualLayout>
          <c:xMode val="edge"/>
          <c:yMode val="edge"/>
          <c:x val="8.2235228229221607E-2"/>
          <c:y val="2.6966296906360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Tables'!$I$27</c:f>
              <c:strCache>
                <c:ptCount val="1"/>
                <c:pt idx="0">
                  <c:v>Total Order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Tables'!$H$28:$H$33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Tables'!$I$28:$I$33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4-4513-80DB-D03C77CF9F01}"/>
            </c:ext>
          </c:extLst>
        </c:ser>
        <c:ser>
          <c:idx val="1"/>
          <c:order val="1"/>
          <c:tx>
            <c:strRef>
              <c:f>'Pivot Tables'!$J$27</c:f>
              <c:strCache>
                <c:ptCount val="1"/>
                <c:pt idx="0">
                  <c:v>% of Order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Tables'!$H$28:$H$33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Tables'!$J$28:$J$33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</c:v>
                </c:pt>
                <c:pt idx="2">
                  <c:v>0.20083333333333334</c:v>
                </c:pt>
                <c:pt idx="3">
                  <c:v>0.21583333333333332</c:v>
                </c:pt>
                <c:pt idx="4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4-4513-80DB-D03C77CF9F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06322831"/>
        <c:axId val="290212655"/>
      </c:barChart>
      <c:catAx>
        <c:axId val="100632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12655"/>
        <c:crosses val="autoZero"/>
        <c:auto val="1"/>
        <c:lblAlgn val="ctr"/>
        <c:lblOffset val="100"/>
        <c:noMultiLvlLbl val="0"/>
      </c:catAx>
      <c:valAx>
        <c:axId val="29021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2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Tables!PivotTable13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 w="635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 w="6350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6350"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Tables'!$I$35</c:f>
              <c:strCache>
                <c:ptCount val="1"/>
                <c:pt idx="0">
                  <c:v>Total Order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6350"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Tables'!$H$36:$H$41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Tables'!$I$36:$I$41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F-4F44-8D25-9A96407487A8}"/>
            </c:ext>
          </c:extLst>
        </c:ser>
        <c:ser>
          <c:idx val="1"/>
          <c:order val="1"/>
          <c:tx>
            <c:strRef>
              <c:f>'Pivot Tables'!$J$35</c:f>
              <c:strCache>
                <c:ptCount val="1"/>
                <c:pt idx="0">
                  <c:v>Sales By Payment Method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6350"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Tables'!$H$36:$H$41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Tables'!$J$36:$J$41</c:f>
              <c:numCache>
                <c:formatCode>0.00%</c:formatCode>
                <c:ptCount val="5"/>
                <c:pt idx="0">
                  <c:v>0.20499999999999999</c:v>
                </c:pt>
                <c:pt idx="1">
                  <c:v>0.19500000000000001</c:v>
                </c:pt>
                <c:pt idx="2">
                  <c:v>0.19333333333333333</c:v>
                </c:pt>
                <c:pt idx="3">
                  <c:v>0.19166666666666668</c:v>
                </c:pt>
                <c:pt idx="4">
                  <c:v>0.215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F-4F44-8D25-9A96407487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40015567"/>
        <c:axId val="290134895"/>
      </c:barChart>
      <c:catAx>
        <c:axId val="104001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34895"/>
        <c:crosses val="autoZero"/>
        <c:auto val="1"/>
        <c:lblAlgn val="ctr"/>
        <c:lblOffset val="100"/>
        <c:noMultiLvlLbl val="0"/>
      </c:catAx>
      <c:valAx>
        <c:axId val="290134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001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6350"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Total Order Value By Year</a:t>
            </a:r>
          </a:p>
        </c:rich>
      </c:tx>
      <c:layout>
        <c:manualLayout>
          <c:xMode val="edge"/>
          <c:yMode val="edge"/>
          <c:x val="0.28195360497442995"/>
          <c:y val="2.8202608146509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rgbClr val="00B05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rgbClr val="00B050"/>
            </a:solidFill>
            <a:ln w="9525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rgbClr val="0070C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rgbClr val="0070C0"/>
            </a:solidFill>
            <a:ln w="9525">
              <a:solidFill>
                <a:srgbClr val="0070C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rgbClr val="00B050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rgbClr val="00B050"/>
            </a:solidFill>
            <a:ln w="9525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6.8500563892243682E-2"/>
          <c:y val="5.6284740939739661E-2"/>
          <c:w val="0.89191473269356436"/>
          <c:h val="0.8467782248196786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Tables'!$B$6:$B$7</c:f>
              <c:strCache>
                <c:ptCount val="1"/>
                <c:pt idx="0">
                  <c:v>2023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Tables'!$B$8:$B$20</c:f>
              <c:numCache>
                <c:formatCode>General</c:formatCode>
                <c:ptCount val="12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B9-4914-932B-A9024548B0D7}"/>
            </c:ext>
          </c:extLst>
        </c:ser>
        <c:ser>
          <c:idx val="1"/>
          <c:order val="1"/>
          <c:tx>
            <c:strRef>
              <c:f>'Pivot Tables'!$C$6:$C$7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Tables'!$C$8:$C$20</c:f>
              <c:numCache>
                <c:formatCode>General</c:formatCode>
                <c:ptCount val="12"/>
                <c:pt idx="0">
                  <c:v>38528.080000000002</c:v>
                </c:pt>
                <c:pt idx="1">
                  <c:v>36909.57</c:v>
                </c:pt>
                <c:pt idx="2">
                  <c:v>36030.9</c:v>
                </c:pt>
                <c:pt idx="3">
                  <c:v>49613.14</c:v>
                </c:pt>
                <c:pt idx="4">
                  <c:v>27909.11</c:v>
                </c:pt>
                <c:pt idx="5">
                  <c:v>68068.539999999994</c:v>
                </c:pt>
                <c:pt idx="6">
                  <c:v>42963.98</c:v>
                </c:pt>
                <c:pt idx="7">
                  <c:v>31991.07</c:v>
                </c:pt>
                <c:pt idx="8">
                  <c:v>39794.980000000003</c:v>
                </c:pt>
                <c:pt idx="9">
                  <c:v>37226.97</c:v>
                </c:pt>
                <c:pt idx="10">
                  <c:v>32413.759999999998</c:v>
                </c:pt>
                <c:pt idx="11">
                  <c:v>38785.769999999997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9-4914-932B-A9024548B0D7}"/>
            </c:ext>
          </c:extLst>
        </c:ser>
        <c:ser>
          <c:idx val="2"/>
          <c:order val="2"/>
          <c:tx>
            <c:strRef>
              <c:f>'Pivot Tables'!$D$6:$D$7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rgbClr val="0070C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Tables'!$D$8:$D$20</c:f>
              <c:numCache>
                <c:formatCode>General</c:formatCode>
                <c:ptCount val="12"/>
                <c:pt idx="0">
                  <c:v>29099.4</c:v>
                </c:pt>
                <c:pt idx="1">
                  <c:v>35317.550000000003</c:v>
                </c:pt>
                <c:pt idx="2">
                  <c:v>39200.660000000003</c:v>
                </c:pt>
                <c:pt idx="3">
                  <c:v>31821.200000000001</c:v>
                </c:pt>
                <c:pt idx="4">
                  <c:v>43396.639999999999</c:v>
                </c:pt>
                <c:pt idx="5">
                  <c:v>53047.4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9-4914-932B-A9024548B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137055"/>
        <c:axId val="1963208432"/>
      </c:lineChart>
      <c:catAx>
        <c:axId val="4791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08432"/>
        <c:crosses val="autoZero"/>
        <c:auto val="1"/>
        <c:lblAlgn val="ctr"/>
        <c:lblOffset val="100"/>
        <c:noMultiLvlLbl val="0"/>
      </c:catAx>
      <c:valAx>
        <c:axId val="1963208432"/>
        <c:scaling>
          <c:orientation val="minMax"/>
          <c:max val="80000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37055"/>
        <c:crosses val="autoZero"/>
        <c:crossBetween val="between"/>
        <c:majorUnit val="1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Tables'!$I$11</c:f>
              <c:strCache>
                <c:ptCount val="1"/>
                <c:pt idx="0">
                  <c:v>Total Order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Tables'!$H$12:$H$17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Tables'!$I$12:$I$17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D-49E2-9129-D158568F926C}"/>
            </c:ext>
          </c:extLst>
        </c:ser>
        <c:ser>
          <c:idx val="1"/>
          <c:order val="1"/>
          <c:tx>
            <c:strRef>
              <c:f>'Pivot Tables'!$J$11</c:f>
              <c:strCache>
                <c:ptCount val="1"/>
                <c:pt idx="0">
                  <c:v>Order Fulfilment Status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Tables'!$H$12:$H$17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Tables'!$J$12:$J$17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D-49E2-9129-D158568F92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27255103"/>
        <c:axId val="290118095"/>
      </c:barChart>
      <c:catAx>
        <c:axId val="32725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18095"/>
        <c:crosses val="autoZero"/>
        <c:auto val="1"/>
        <c:lblAlgn val="ctr"/>
        <c:lblOffset val="100"/>
        <c:noMultiLvlLbl val="0"/>
      </c:catAx>
      <c:valAx>
        <c:axId val="290118095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55103"/>
        <c:crosses val="autoZero"/>
        <c:crossBetween val="between"/>
        <c:majorUnit val="50"/>
        <c:min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>
                <a:lumMod val="95000"/>
                <a:lumOff val="5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Acquisition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Tables'!$I$27</c:f>
              <c:strCache>
                <c:ptCount val="1"/>
                <c:pt idx="0">
                  <c:v>Total Order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Tables'!$H$28:$H$33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Tables'!$I$28:$I$33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5-4784-A6AD-2B71593C7B58}"/>
            </c:ext>
          </c:extLst>
        </c:ser>
        <c:ser>
          <c:idx val="1"/>
          <c:order val="1"/>
          <c:tx>
            <c:strRef>
              <c:f>'Pivot Tables'!$J$27</c:f>
              <c:strCache>
                <c:ptCount val="1"/>
                <c:pt idx="0">
                  <c:v>% of Order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Tables'!$H$28:$H$33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Tables'!$J$28:$J$33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</c:v>
                </c:pt>
                <c:pt idx="2">
                  <c:v>0.20083333333333334</c:v>
                </c:pt>
                <c:pt idx="3">
                  <c:v>0.21583333333333332</c:v>
                </c:pt>
                <c:pt idx="4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5-4784-A6AD-2B71593C7B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06322831"/>
        <c:axId val="290212655"/>
      </c:barChart>
      <c:catAx>
        <c:axId val="100632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12655"/>
        <c:crosses val="autoZero"/>
        <c:auto val="1"/>
        <c:lblAlgn val="ctr"/>
        <c:lblOffset val="100"/>
        <c:noMultiLvlLbl val="0"/>
      </c:catAx>
      <c:valAx>
        <c:axId val="29021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2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Performance By Customer Acquisition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Tables'!$A$40:$A$45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Tables'!$B$40:$B$45</c:f>
              <c:numCache>
                <c:formatCode>0.00%</c:formatCode>
                <c:ptCount val="5"/>
                <c:pt idx="0">
                  <c:v>0.20700223305261331</c:v>
                </c:pt>
                <c:pt idx="1">
                  <c:v>0.19799053728655786</c:v>
                </c:pt>
                <c:pt idx="2">
                  <c:v>0.19801471574935731</c:v>
                </c:pt>
                <c:pt idx="3">
                  <c:v>0.21765791406313328</c:v>
                </c:pt>
                <c:pt idx="4">
                  <c:v>0.17933459984833824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1-4278-8D64-4EB5F9306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40068927"/>
        <c:axId val="290171855"/>
      </c:barChart>
      <c:catAx>
        <c:axId val="104006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71855"/>
        <c:crosses val="autoZero"/>
        <c:auto val="1"/>
        <c:lblAlgn val="ctr"/>
        <c:lblOffset val="100"/>
        <c:noMultiLvlLbl val="0"/>
      </c:catAx>
      <c:valAx>
        <c:axId val="290171855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06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 w="6350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Promotional Offer Usage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 w="6350"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Tables'!$A$33:$A$37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'Pivot Tables'!$B$33:$B$37</c:f>
              <c:numCache>
                <c:formatCode>0.00%</c:formatCode>
                <c:ptCount val="4"/>
                <c:pt idx="0">
                  <c:v>0.26083333333333331</c:v>
                </c:pt>
                <c:pt idx="1">
                  <c:v>0.25750000000000001</c:v>
                </c:pt>
                <c:pt idx="2">
                  <c:v>0.23833333333333334</c:v>
                </c:pt>
                <c:pt idx="3">
                  <c:v>0.24333333333333335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0-4032-952A-801F86D156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40067071"/>
        <c:axId val="290183855"/>
      </c:barChart>
      <c:catAx>
        <c:axId val="104006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 w="6350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83855"/>
        <c:crosses val="autoZero"/>
        <c:auto val="1"/>
        <c:lblAlgn val="ctr"/>
        <c:lblOffset val="100"/>
        <c:noMultiLvlLbl val="0"/>
      </c:catAx>
      <c:valAx>
        <c:axId val="29018385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04006707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n w="6350">
            <a:solidFill>
              <a:schemeClr val="tx1">
                <a:lumMod val="95000"/>
                <a:lumOff val="5000"/>
              </a:schemeClr>
            </a:solidFill>
          </a:ln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 w="6350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 w="6350">
                <a:solidFill>
                  <a:schemeClr val="tx1">
                    <a:lumMod val="95000"/>
                    <a:lumOff val="5000"/>
                  </a:schemeClr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Tables'!$I$35</c:f>
              <c:strCache>
                <c:ptCount val="1"/>
                <c:pt idx="0">
                  <c:v>Total Order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635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Tables'!$H$36:$H$41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Tables'!$I$36:$I$41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F-460B-904F-347C772CCFA5}"/>
            </c:ext>
          </c:extLst>
        </c:ser>
        <c:ser>
          <c:idx val="1"/>
          <c:order val="1"/>
          <c:tx>
            <c:strRef>
              <c:f>'Pivot Tables'!$J$35</c:f>
              <c:strCache>
                <c:ptCount val="1"/>
                <c:pt idx="0">
                  <c:v>Sales By Payment Method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635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Tables'!$H$36:$H$41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Tables'!$J$36:$J$41</c:f>
              <c:numCache>
                <c:formatCode>0.00%</c:formatCode>
                <c:ptCount val="5"/>
                <c:pt idx="0">
                  <c:v>0.20499999999999999</c:v>
                </c:pt>
                <c:pt idx="1">
                  <c:v>0.19500000000000001</c:v>
                </c:pt>
                <c:pt idx="2">
                  <c:v>0.19333333333333333</c:v>
                </c:pt>
                <c:pt idx="3">
                  <c:v>0.19166666666666668</c:v>
                </c:pt>
                <c:pt idx="4">
                  <c:v>0.215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F-460B-904F-347C772CCF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40015567"/>
        <c:axId val="290134895"/>
      </c:barChart>
      <c:catAx>
        <c:axId val="104001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134895"/>
        <c:crosses val="autoZero"/>
        <c:auto val="1"/>
        <c:lblAlgn val="ctr"/>
        <c:lblOffset val="100"/>
        <c:noMultiLvlLbl val="0"/>
      </c:catAx>
      <c:valAx>
        <c:axId val="290134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001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6350">
            <a:solidFill>
              <a:schemeClr val="tx1">
                <a:lumMod val="95000"/>
                <a:lumOff val="5000"/>
              </a:schemeClr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ORDER VALUE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 w="6350">
                    <a:solidFill>
                      <a:schemeClr val="bg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bg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ln w="6350">
                      <a:solidFill>
                        <a:schemeClr val="bg1"/>
                      </a:solidFill>
                    </a:ln>
                  </a:rPr>
                  <a:t> </a:t>
                </a:r>
                <a:fld id="{462B2280-5DF8-49BA-82E1-B67E2F112C9C}" type="PERCENTAGE">
                  <a:rPr lang="en-US" baseline="0">
                    <a:ln w="6350">
                      <a:solidFill>
                        <a:schemeClr val="bg1"/>
                      </a:solidFill>
                    </a:ln>
                  </a:rPr>
                  <a:pPr>
                    <a:defRPr sz="900" b="1" i="0" u="none" strike="noStrike" kern="1200" baseline="0">
                      <a:ln w="6350">
                        <a:solidFill>
                          <a:schemeClr val="bg1"/>
                        </a:solidFill>
                      </a:ln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ln w="6350">
                    <a:solidFill>
                      <a:schemeClr val="bg1"/>
                    </a:solidFill>
                  </a:ln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ln w="6350">
                    <a:solidFill>
                      <a:schemeClr val="bg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97333333333332"/>
                  <c:h val="0.21099057216240338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bg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F343F2C0-65A8-454E-ADF3-EB26EF94DAB8}" type="PERCENTAGE">
                  <a:rPr lang="en-US" baseline="0"/>
                  <a:pPr>
                    <a:defRPr sz="900" b="1" i="0" u="none" strike="noStrike" kern="1200" baseline="0">
                      <a:ln w="6350">
                        <a:solidFill>
                          <a:schemeClr val="bg1"/>
                        </a:solidFill>
                      </a:ln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ln w="6350">
                    <a:solidFill>
                      <a:schemeClr val="bg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657343832020997"/>
                  <c:h val="0.31114708784227774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 w="6350">
                    <a:solidFill>
                      <a:schemeClr val="bg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bg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ln w="6350">
                      <a:solidFill>
                        <a:schemeClr val="bg1"/>
                      </a:solidFill>
                    </a:ln>
                  </a:rPr>
                  <a:t> </a:t>
                </a:r>
                <a:fld id="{462B2280-5DF8-49BA-82E1-B67E2F112C9C}" type="PERCENTAGE">
                  <a:rPr lang="en-US" baseline="0">
                    <a:ln w="6350">
                      <a:solidFill>
                        <a:schemeClr val="bg1"/>
                      </a:solidFill>
                    </a:ln>
                  </a:rPr>
                  <a:pPr>
                    <a:defRPr sz="900" b="1" i="0" u="none" strike="noStrike" kern="1200" baseline="0">
                      <a:ln w="6350">
                        <a:solidFill>
                          <a:schemeClr val="bg1"/>
                        </a:solidFill>
                      </a:ln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ln w="6350">
                    <a:solidFill>
                      <a:schemeClr val="bg1"/>
                    </a:solidFill>
                  </a:ln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ln w="6350">
                    <a:solidFill>
                      <a:schemeClr val="bg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97333333333332"/>
                  <c:h val="0.21099057216240338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bg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F343F2C0-65A8-454E-ADF3-EB26EF94DAB8}" type="PERCENTAGE">
                  <a:rPr lang="en-US" baseline="0"/>
                  <a:pPr>
                    <a:defRPr sz="900" b="1" i="0" u="none" strike="noStrike" kern="1200" baseline="0">
                      <a:ln w="6350">
                        <a:solidFill>
                          <a:schemeClr val="bg1"/>
                        </a:solidFill>
                      </a:ln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ln w="6350">
                    <a:solidFill>
                      <a:schemeClr val="bg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657343832020997"/>
                  <c:h val="0.31114708784227774"/>
                </c:manualLayout>
              </c15:layout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462B2280-5DF8-49BA-82E1-B67E2F112C9C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97333333333332"/>
                  <c:h val="0.21099057216240338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F343F2C0-65A8-454E-ADF3-EB26EF94DAB8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657343832020997"/>
                  <c:h val="0.31114708784227774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Tables'!$I$6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4D-43AF-A465-A3094A434AF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4D-43AF-A465-A3094A434AF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fld id="{462B2280-5DF8-49BA-82E1-B67E2F112C9C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97333333333332"/>
                      <c:h val="0.210990572162403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94D-43AF-A465-A3094A434A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fld id="{F343F2C0-65A8-454E-ADF3-EB26EF94DAB8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57343832020997"/>
                      <c:h val="0.3111470878422777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94D-43AF-A465-A3094A434A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Tables'!$H$7:$H$9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'Pivot Tables'!$I$7:$I$9</c:f>
              <c:numCache>
                <c:formatCode>0.00%</c:formatCode>
                <c:ptCount val="2"/>
                <c:pt idx="0">
                  <c:v>0.53505123169738611</c:v>
                </c:pt>
                <c:pt idx="1">
                  <c:v>0.46494876830261384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D-43AF-A465-A3094A434A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bg2"/>
      </a:solidFill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Project.xlsx]Pivot Tables!PivotTable8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3175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Performance</a:t>
            </a:r>
          </a:p>
        </c:rich>
      </c:tx>
      <c:layout>
        <c:manualLayout>
          <c:xMode val="edge"/>
          <c:yMode val="edge"/>
          <c:x val="0.16708768585190675"/>
          <c:y val="1.6501654453276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3175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3175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Tables'!$A$23:$A$30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Tables'!$B$23:$B$30</c:f>
              <c:numCache>
                <c:formatCode>0.00%</c:formatCode>
                <c:ptCount val="7"/>
                <c:pt idx="0">
                  <c:v>0.15466950792859077</c:v>
                </c:pt>
                <c:pt idx="1">
                  <c:v>0.13240430634077577</c:v>
                </c:pt>
                <c:pt idx="2">
                  <c:v>0.15190728854621782</c:v>
                </c:pt>
                <c:pt idx="3">
                  <c:v>0.13888100334706463</c:v>
                </c:pt>
                <c:pt idx="4">
                  <c:v>0.11996122179386232</c:v>
                </c:pt>
                <c:pt idx="5">
                  <c:v>0.15466357795897023</c:v>
                </c:pt>
                <c:pt idx="6">
                  <c:v>0.14751309408451849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2-4E17-B867-DD7A9A77FE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3699487"/>
        <c:axId val="1760657743"/>
      </c:barChart>
      <c:catAx>
        <c:axId val="177369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57743"/>
        <c:crosses val="autoZero"/>
        <c:auto val="1"/>
        <c:lblAlgn val="ctr"/>
        <c:lblOffset val="100"/>
        <c:noMultiLvlLbl val="0"/>
      </c:catAx>
      <c:valAx>
        <c:axId val="1760657743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77369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3175"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 w="12700">
                <a:solidFill>
                  <a:schemeClr val="tx1"/>
                </a:solidFill>
              </a:ln>
            </a:defRPr>
          </a:pPr>
          <a:r>
            <a:rPr lang="en-US" sz="1400" b="0" i="0" u="none" strike="noStrike" baseline="0">
              <a:ln w="12700"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</a:t>
          </a:r>
        </a:p>
      </cx:txPr>
    </cx:title>
    <cx:plotArea>
      <cx:plotAreaRegion>
        <cx:series layoutId="boxWhisker" uniqueId="{00000001-1F6C-426B-8D16-B96AEBB24640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microsoft.com/office/2014/relationships/chartEx" Target="../charts/chartEx1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523876</xdr:colOff>
      <xdr:row>0</xdr:row>
      <xdr:rowOff>74082</xdr:rowOff>
    </xdr:from>
    <xdr:to>
      <xdr:col>17</xdr:col>
      <xdr:colOff>90488</xdr:colOff>
      <xdr:row>33</xdr:row>
      <xdr:rowOff>68791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78AB08-CF42-0396-0E4F-D97A35E98840}"/>
            </a:ext>
          </a:extLst>
        </xdr:cNvPr>
        <xdr:cNvSpPr/>
      </xdr:nvSpPr>
      <xdr:spPr>
        <a:xfrm>
          <a:off x="523876" y="74082"/>
          <a:ext cx="10541529" cy="593195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			</a:t>
          </a:r>
          <a:r>
            <a:rPr lang="en-US" sz="1800" b="0">
              <a:ln w="6350">
                <a:solidFill>
                  <a:schemeClr val="accent1">
                    <a:shade val="15000"/>
                  </a:schemeClr>
                </a:solidFill>
              </a:ln>
              <a:solidFill>
                <a:schemeClr val="tx2">
                  <a:lumMod val="50000"/>
                </a:schemeClr>
              </a:soli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E-COMMERCE SALES AND ORDER PERFORMANCE </a:t>
          </a:r>
          <a:endParaRPr lang="en-US" sz="1800" b="0">
            <a:latin typeface="Arial Black" panose="020B0A0402010202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542925</xdr:colOff>
      <xdr:row>0</xdr:row>
      <xdr:rowOff>89958</xdr:rowOff>
    </xdr:from>
    <xdr:to>
      <xdr:col>3</xdr:col>
      <xdr:colOff>428625</xdr:colOff>
      <xdr:row>33</xdr:row>
      <xdr:rowOff>42333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C8332CF-20E8-98EC-17C3-AFA7247BEC32}"/>
            </a:ext>
          </a:extLst>
        </xdr:cNvPr>
        <xdr:cNvSpPr/>
      </xdr:nvSpPr>
      <xdr:spPr>
        <a:xfrm>
          <a:off x="542925" y="89958"/>
          <a:ext cx="1822450" cy="5889625"/>
        </a:xfrm>
        <a:prstGeom prst="rect">
          <a:avLst/>
        </a:prstGeom>
        <a:solidFill>
          <a:schemeClr val="tx2">
            <a:lumMod val="50000"/>
          </a:schemeClr>
        </a:solidFill>
        <a:ln w="25400"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495300</xdr:colOff>
      <xdr:row>3</xdr:row>
      <xdr:rowOff>105833</xdr:rowOff>
    </xdr:from>
    <xdr:to>
      <xdr:col>16</xdr:col>
      <xdr:colOff>628651</xdr:colOff>
      <xdr:row>6</xdr:row>
      <xdr:rowOff>153458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20E2126-5FE0-34FE-7F18-F854608CD95C}"/>
            </a:ext>
          </a:extLst>
        </xdr:cNvPr>
        <xdr:cNvGrpSpPr/>
      </xdr:nvGrpSpPr>
      <xdr:grpSpPr>
        <a:xfrm>
          <a:off x="2432050" y="645583"/>
          <a:ext cx="8525934" cy="587375"/>
          <a:chOff x="2490787" y="762000"/>
          <a:chExt cx="8423270" cy="681038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B265AC4-F83A-46C3-9485-B2A57CD817C8}"/>
              </a:ext>
            </a:extLst>
          </xdr:cNvPr>
          <xdr:cNvSpPr/>
        </xdr:nvSpPr>
        <xdr:spPr>
          <a:xfrm>
            <a:off x="2490787" y="762000"/>
            <a:ext cx="1565270" cy="681038"/>
          </a:xfrm>
          <a:prstGeom prst="roundRect">
            <a:avLst/>
          </a:prstGeom>
          <a:ln>
            <a:solidFill>
              <a:schemeClr val="bg2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ctr"/>
            <a:r>
              <a:rPr lang="en-US" sz="1400">
                <a:solidFill>
                  <a:schemeClr val="tx2">
                    <a:lumMod val="60000"/>
                    <a:lumOff val="40000"/>
                  </a:schemeClr>
                </a:solidFill>
                <a:latin typeface="Arial Black" panose="020B0A04020102020204" pitchFamily="34" charset="0"/>
              </a:rPr>
              <a:t>$1.265M</a:t>
            </a:r>
            <a:r>
              <a:rPr lang="en-US" sz="700">
                <a:solidFill>
                  <a:schemeClr val="bg1">
                    <a:lumMod val="65000"/>
                  </a:schemeClr>
                </a:solidFill>
                <a:latin typeface="Arial Black" panose="020B0A04020102020204" pitchFamily="34" charset="0"/>
              </a:rPr>
              <a:t> </a:t>
            </a:r>
          </a:p>
          <a:p>
            <a:pPr algn="ctr"/>
            <a:r>
              <a:rPr lang="en-US" sz="700">
                <a:solidFill>
                  <a:schemeClr val="bg1">
                    <a:lumMod val="65000"/>
                  </a:schemeClr>
                </a:solidFill>
                <a:latin typeface="Arial Black" panose="020B0A04020102020204" pitchFamily="34" charset="0"/>
              </a:rPr>
              <a:t>Total Order Value</a:t>
            </a: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CE64E5D3-A379-4CCE-92B5-9E4315352084}"/>
              </a:ext>
            </a:extLst>
          </xdr:cNvPr>
          <xdr:cNvSpPr/>
        </xdr:nvSpPr>
        <xdr:spPr>
          <a:xfrm>
            <a:off x="4205287" y="762000"/>
            <a:ext cx="1565270" cy="681038"/>
          </a:xfrm>
          <a:prstGeom prst="roundRect">
            <a:avLst/>
          </a:prstGeom>
          <a:ln>
            <a:solidFill>
              <a:schemeClr val="bg2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>
                <a:solidFill>
                  <a:schemeClr val="tx2">
                    <a:lumMod val="60000"/>
                    <a:lumOff val="40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1,200</a:t>
            </a:r>
            <a:endParaRPr lang="en-US" sz="700">
              <a:solidFill>
                <a:schemeClr val="bg1">
                  <a:lumMod val="6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700">
                <a:solidFill>
                  <a:schemeClr val="bg1">
                    <a:lumMod val="65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Total Number Of Order</a:t>
            </a:r>
            <a:endParaRPr lang="en-US" sz="700">
              <a:solidFill>
                <a:schemeClr val="bg1">
                  <a:lumMod val="65000"/>
                </a:schemeClr>
              </a:solidFill>
              <a:effectLst/>
              <a:latin typeface="Arial Black" panose="020B0A04020102020204" pitchFamily="34" charset="0"/>
            </a:endParaRPr>
          </a:p>
          <a:p>
            <a:pPr algn="ctr"/>
            <a:endParaRPr lang="en-US" sz="700">
              <a:solidFill>
                <a:schemeClr val="bg1">
                  <a:lumMod val="65000"/>
                </a:schemeClr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068B57E9-A55E-46F0-BADC-92A590548301}"/>
              </a:ext>
            </a:extLst>
          </xdr:cNvPr>
          <xdr:cNvSpPr/>
        </xdr:nvSpPr>
        <xdr:spPr>
          <a:xfrm>
            <a:off x="5919787" y="762000"/>
            <a:ext cx="1565270" cy="681038"/>
          </a:xfrm>
          <a:prstGeom prst="roundRect">
            <a:avLst/>
          </a:prstGeom>
          <a:ln>
            <a:solidFill>
              <a:schemeClr val="bg2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>
                <a:solidFill>
                  <a:schemeClr val="tx2">
                    <a:lumMod val="60000"/>
                    <a:lumOff val="40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3,535</a:t>
            </a:r>
            <a:endParaRPr lang="en-US" sz="700">
              <a:solidFill>
                <a:schemeClr val="bg1">
                  <a:lumMod val="6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700">
                <a:solidFill>
                  <a:schemeClr val="bg1">
                    <a:lumMod val="65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Total Quantity Ordered</a:t>
            </a:r>
            <a:endParaRPr lang="en-US" sz="700">
              <a:solidFill>
                <a:schemeClr val="bg1">
                  <a:lumMod val="65000"/>
                </a:schemeClr>
              </a:solidFill>
              <a:effectLst/>
              <a:latin typeface="Arial Black" panose="020B0A04020102020204" pitchFamily="34" charset="0"/>
            </a:endParaRPr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A9CB8974-36ED-426E-AD77-2ECDF8289B91}"/>
              </a:ext>
            </a:extLst>
          </xdr:cNvPr>
          <xdr:cNvSpPr/>
        </xdr:nvSpPr>
        <xdr:spPr>
          <a:xfrm>
            <a:off x="7634287" y="762000"/>
            <a:ext cx="1565270" cy="681038"/>
          </a:xfrm>
          <a:prstGeom prst="roundRect">
            <a:avLst/>
          </a:prstGeom>
          <a:ln>
            <a:solidFill>
              <a:schemeClr val="bg2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>
                <a:solidFill>
                  <a:schemeClr val="tx2">
                    <a:lumMod val="60000"/>
                    <a:lumOff val="40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$1,054</a:t>
            </a:r>
            <a:endParaRPr lang="en-US" sz="700">
              <a:solidFill>
                <a:schemeClr val="bg1">
                  <a:lumMod val="6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700">
                <a:solidFill>
                  <a:schemeClr val="bg1">
                    <a:lumMod val="65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Average Order Value</a:t>
            </a:r>
            <a:endParaRPr lang="en-US" sz="700">
              <a:solidFill>
                <a:schemeClr val="bg1">
                  <a:lumMod val="65000"/>
                </a:schemeClr>
              </a:solidFill>
              <a:effectLst/>
              <a:latin typeface="Arial Black" panose="020B0A04020102020204" pitchFamily="34" charset="0"/>
            </a:endParaRPr>
          </a:p>
          <a:p>
            <a:pPr algn="ctr"/>
            <a:endParaRPr lang="en-US" sz="700">
              <a:solidFill>
                <a:schemeClr val="bg1">
                  <a:lumMod val="65000"/>
                </a:schemeClr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2839069C-8EC9-445F-B904-D5B8A49B5D55}"/>
              </a:ext>
            </a:extLst>
          </xdr:cNvPr>
          <xdr:cNvSpPr/>
        </xdr:nvSpPr>
        <xdr:spPr>
          <a:xfrm>
            <a:off x="9348787" y="762000"/>
            <a:ext cx="1565270" cy="681038"/>
          </a:xfrm>
          <a:prstGeom prst="roundRect">
            <a:avLst/>
          </a:prstGeom>
          <a:ln>
            <a:solidFill>
              <a:schemeClr val="bg2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ctr"/>
            <a:r>
              <a:rPr lang="en-US" sz="1400">
                <a:solidFill>
                  <a:srgbClr val="FF5050"/>
                </a:solidFill>
                <a:latin typeface="Arial Black" panose="020B0A04020102020204" pitchFamily="34" charset="0"/>
              </a:rPr>
              <a:t>41.4%</a:t>
            </a:r>
            <a:endParaRPr lang="en-US" sz="700">
              <a:solidFill>
                <a:schemeClr val="bg1">
                  <a:lumMod val="65000"/>
                </a:schemeClr>
              </a:solidFill>
              <a:latin typeface="Arial Black" panose="020B0A04020102020204" pitchFamily="34" charset="0"/>
            </a:endParaRPr>
          </a:p>
          <a:p>
            <a:pPr algn="ctr"/>
            <a:r>
              <a:rPr lang="en-US" sz="700">
                <a:solidFill>
                  <a:schemeClr val="bg1">
                    <a:lumMod val="65000"/>
                  </a:schemeClr>
                </a:solidFill>
                <a:latin typeface="Arial Black" panose="020B0A04020102020204" pitchFamily="34" charset="0"/>
              </a:rPr>
              <a:t>Cancelled + Returned</a:t>
            </a:r>
          </a:p>
        </xdr:txBody>
      </xdr:sp>
    </xdr:grpSp>
    <xdr:clientData/>
  </xdr:twoCellAnchor>
  <xdr:twoCellAnchor>
    <xdr:from>
      <xdr:col>3</xdr:col>
      <xdr:colOff>514350</xdr:colOff>
      <xdr:row>7</xdr:row>
      <xdr:rowOff>96838</xdr:rowOff>
    </xdr:from>
    <xdr:to>
      <xdr:col>17</xdr:col>
      <xdr:colOff>5292</xdr:colOff>
      <xdr:row>32</xdr:row>
      <xdr:rowOff>95250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2DC783D4-01CE-98A4-22C2-565BAA8E022F}"/>
            </a:ext>
          </a:extLst>
        </xdr:cNvPr>
        <xdr:cNvGrpSpPr/>
      </xdr:nvGrpSpPr>
      <xdr:grpSpPr>
        <a:xfrm>
          <a:off x="2451100" y="1356255"/>
          <a:ext cx="8529109" cy="4496328"/>
          <a:chOff x="2451100" y="1356255"/>
          <a:chExt cx="8529109" cy="4094161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D57C549C-723B-4FD8-AEAA-9F7E44710455}"/>
              </a:ext>
            </a:extLst>
          </xdr:cNvPr>
          <xdr:cNvGraphicFramePr>
            <a:graphicFrameLocks/>
          </xdr:cNvGraphicFramePr>
        </xdr:nvGraphicFramePr>
        <xdr:xfrm>
          <a:off x="2451100" y="1356255"/>
          <a:ext cx="4248150" cy="20939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B8ECC11E-0423-4839-BF0E-5344DAA9E42C}"/>
              </a:ext>
            </a:extLst>
          </xdr:cNvPr>
          <xdr:cNvGraphicFramePr>
            <a:graphicFrameLocks/>
          </xdr:cNvGraphicFramePr>
        </xdr:nvGraphicFramePr>
        <xdr:xfrm>
          <a:off x="6864878" y="1365251"/>
          <a:ext cx="4072997" cy="2063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2D7448A9-D3F7-4486-B7F0-EC71C23461F3}"/>
              </a:ext>
            </a:extLst>
          </xdr:cNvPr>
          <xdr:cNvGraphicFramePr>
            <a:graphicFrameLocks/>
          </xdr:cNvGraphicFramePr>
        </xdr:nvGraphicFramePr>
        <xdr:xfrm>
          <a:off x="2460627" y="3577166"/>
          <a:ext cx="2756957" cy="18728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13B6621A-51F1-4419-8298-5AA3AD055E6B}"/>
              </a:ext>
            </a:extLst>
          </xdr:cNvPr>
          <xdr:cNvGraphicFramePr>
            <a:graphicFrameLocks/>
          </xdr:cNvGraphicFramePr>
        </xdr:nvGraphicFramePr>
        <xdr:xfrm>
          <a:off x="5323418" y="3561291"/>
          <a:ext cx="2873375" cy="1889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EF5ACB00-D052-4039-9EF5-042301A8FC58}"/>
              </a:ext>
            </a:extLst>
          </xdr:cNvPr>
          <xdr:cNvGraphicFramePr>
            <a:graphicFrameLocks/>
          </xdr:cNvGraphicFramePr>
        </xdr:nvGraphicFramePr>
        <xdr:xfrm>
          <a:off x="8302627" y="3545416"/>
          <a:ext cx="2677582" cy="19037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560916</xdr:colOff>
      <xdr:row>0</xdr:row>
      <xdr:rowOff>95249</xdr:rowOff>
    </xdr:from>
    <xdr:to>
      <xdr:col>3</xdr:col>
      <xdr:colOff>423333</xdr:colOff>
      <xdr:row>3</xdr:row>
      <xdr:rowOff>158749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4D96628-54B2-6C6E-F910-2BC95EEB8CFD}"/>
            </a:ext>
          </a:extLst>
        </xdr:cNvPr>
        <xdr:cNvSpPr/>
      </xdr:nvSpPr>
      <xdr:spPr>
        <a:xfrm>
          <a:off x="560916" y="95249"/>
          <a:ext cx="1799167" cy="603250"/>
        </a:xfrm>
        <a:prstGeom prst="rect">
          <a:avLst/>
        </a:prstGeom>
        <a:noFill/>
        <a:ln w="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bg1"/>
              </a:solidFill>
            </a:rPr>
            <a:t>Online Market Place</a:t>
          </a:r>
        </a:p>
      </xdr:txBody>
    </xdr:sp>
    <xdr:clientData/>
  </xdr:twoCellAnchor>
  <xdr:twoCellAnchor>
    <xdr:from>
      <xdr:col>0</xdr:col>
      <xdr:colOff>551921</xdr:colOff>
      <xdr:row>5</xdr:row>
      <xdr:rowOff>111125</xdr:rowOff>
    </xdr:from>
    <xdr:to>
      <xdr:col>3</xdr:col>
      <xdr:colOff>393171</xdr:colOff>
      <xdr:row>7</xdr:row>
      <xdr:rowOff>169333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7D3CB721-941E-3FF5-9BF1-1590CEB33179}"/>
            </a:ext>
          </a:extLst>
        </xdr:cNvPr>
        <xdr:cNvSpPr/>
      </xdr:nvSpPr>
      <xdr:spPr>
        <a:xfrm>
          <a:off x="551921" y="1010708"/>
          <a:ext cx="1778000" cy="418042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Executive</a:t>
          </a:r>
          <a:r>
            <a:rPr lang="en-US" sz="1200" b="1" baseline="0">
              <a:solidFill>
                <a:schemeClr val="bg1"/>
              </a:solidFill>
            </a:rPr>
            <a:t> Overview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551921</xdr:colOff>
      <xdr:row>22</xdr:row>
      <xdr:rowOff>139700</xdr:rowOff>
    </xdr:from>
    <xdr:to>
      <xdr:col>3</xdr:col>
      <xdr:colOff>393171</xdr:colOff>
      <xdr:row>25</xdr:row>
      <xdr:rowOff>17992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D43A0D0A-1741-4F42-B588-C4DCF7B8FE23}"/>
            </a:ext>
          </a:extLst>
        </xdr:cNvPr>
        <xdr:cNvSpPr/>
      </xdr:nvSpPr>
      <xdr:spPr>
        <a:xfrm>
          <a:off x="551921" y="4097867"/>
          <a:ext cx="1778000" cy="41804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Promotional Offers</a:t>
          </a:r>
        </a:p>
      </xdr:txBody>
    </xdr:sp>
    <xdr:clientData/>
  </xdr:twoCellAnchor>
  <xdr:twoCellAnchor>
    <xdr:from>
      <xdr:col>0</xdr:col>
      <xdr:colOff>551921</xdr:colOff>
      <xdr:row>17</xdr:row>
      <xdr:rowOff>10231</xdr:rowOff>
    </xdr:from>
    <xdr:to>
      <xdr:col>3</xdr:col>
      <xdr:colOff>393171</xdr:colOff>
      <xdr:row>19</xdr:row>
      <xdr:rowOff>68439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20F98DF5-CA7D-4379-A114-6127C3BB7454}"/>
            </a:ext>
          </a:extLst>
        </xdr:cNvPr>
        <xdr:cNvSpPr/>
      </xdr:nvSpPr>
      <xdr:spPr>
        <a:xfrm>
          <a:off x="551921" y="3068814"/>
          <a:ext cx="1778000" cy="41804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Product Analysis</a:t>
          </a:r>
        </a:p>
      </xdr:txBody>
    </xdr:sp>
    <xdr:clientData/>
  </xdr:twoCellAnchor>
  <xdr:twoCellAnchor>
    <xdr:from>
      <xdr:col>0</xdr:col>
      <xdr:colOff>551921</xdr:colOff>
      <xdr:row>11</xdr:row>
      <xdr:rowOff>60678</xdr:rowOff>
    </xdr:from>
    <xdr:to>
      <xdr:col>3</xdr:col>
      <xdr:colOff>393171</xdr:colOff>
      <xdr:row>13</xdr:row>
      <xdr:rowOff>118886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686820FC-FB9E-45C2-B00C-071B2E66A603}"/>
            </a:ext>
          </a:extLst>
        </xdr:cNvPr>
        <xdr:cNvSpPr/>
      </xdr:nvSpPr>
      <xdr:spPr>
        <a:xfrm>
          <a:off x="551921" y="2039761"/>
          <a:ext cx="1778000" cy="41804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>
                  <a:lumMod val="50000"/>
                  <a:lumOff val="50000"/>
                </a:schemeClr>
              </a:solidFill>
            </a:rPr>
            <a:t>Annual Analysis</a:t>
          </a:r>
        </a:p>
      </xdr:txBody>
    </xdr:sp>
    <xdr:clientData/>
  </xdr:twoCellAnchor>
  <xdr:twoCellAnchor>
    <xdr:from>
      <xdr:col>0</xdr:col>
      <xdr:colOff>550333</xdr:colOff>
      <xdr:row>3</xdr:row>
      <xdr:rowOff>132292</xdr:rowOff>
    </xdr:from>
    <xdr:to>
      <xdr:col>3</xdr:col>
      <xdr:colOff>442383</xdr:colOff>
      <xdr:row>3</xdr:row>
      <xdr:rowOff>137583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EF460560-1AE4-409A-50FB-7D34728486C9}"/>
            </a:ext>
          </a:extLst>
        </xdr:cNvPr>
        <xdr:cNvCxnSpPr/>
      </xdr:nvCxnSpPr>
      <xdr:spPr>
        <a:xfrm flipV="1">
          <a:off x="550333" y="672042"/>
          <a:ext cx="1828800" cy="529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555624</xdr:colOff>
      <xdr:row>28</xdr:row>
      <xdr:rowOff>126999</xdr:rowOff>
    </xdr:from>
    <xdr:to>
      <xdr:col>3</xdr:col>
      <xdr:colOff>433916</xdr:colOff>
      <xdr:row>33</xdr:row>
      <xdr:rowOff>47625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8D5163EF-C9B5-28AC-E833-14014FE04E18}"/>
            </a:ext>
          </a:extLst>
        </xdr:cNvPr>
        <xdr:cNvGrpSpPr/>
      </xdr:nvGrpSpPr>
      <xdr:grpSpPr>
        <a:xfrm>
          <a:off x="555624" y="5164666"/>
          <a:ext cx="1815042" cy="820209"/>
          <a:chOff x="555624" y="5164666"/>
          <a:chExt cx="1815042" cy="820209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60EF7795-81B8-21AF-27B8-83CE25B3BB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55624" y="5291666"/>
            <a:ext cx="687917" cy="661459"/>
          </a:xfrm>
          <a:prstGeom prst="ellipse">
            <a:avLst/>
          </a:prstGeom>
          <a:ln w="63500" cap="rnd">
            <a:solidFill>
              <a:srgbClr val="333333"/>
            </a:solidFill>
          </a:ln>
          <a:effectLst>
            <a:outerShdw blurRad="381000" dist="292100" dir="5400000" sx="-80000" sy="-18000" rotWithShape="0">
              <a:srgbClr val="000000">
                <a:alpha val="22000"/>
              </a:srgbClr>
            </a:outerShdw>
          </a:effectLst>
          <a:scene3d>
            <a:camera prst="orthographicFront"/>
            <a:lightRig rig="contrasting" dir="t">
              <a:rot lat="0" lon="0" rev="3000000"/>
            </a:lightRig>
          </a:scene3d>
          <a:sp3d contourW="7620">
            <a:bevelT w="95250" h="31750"/>
            <a:contourClr>
              <a:srgbClr val="333333"/>
            </a:contourClr>
          </a:sp3d>
        </xdr:spPr>
      </xdr:pic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3E01F5F7-3C84-4F46-E92F-B1A0B43D21D2}"/>
              </a:ext>
            </a:extLst>
          </xdr:cNvPr>
          <xdr:cNvSpPr/>
        </xdr:nvSpPr>
        <xdr:spPr>
          <a:xfrm>
            <a:off x="1259417" y="5164666"/>
            <a:ext cx="1111249" cy="820209"/>
          </a:xfrm>
          <a:prstGeom prst="roundRect">
            <a:avLst/>
          </a:prstGeom>
          <a:solidFill>
            <a:schemeClr val="tx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/>
              <a:t>Decode_Labs Internship Project.</a:t>
            </a:r>
          </a:p>
        </xdr:txBody>
      </xdr:sp>
    </xdr:grpSp>
    <xdr:clientData/>
  </xdr:twoCellAnchor>
  <xdr:twoCellAnchor>
    <xdr:from>
      <xdr:col>0</xdr:col>
      <xdr:colOff>532342</xdr:colOff>
      <xdr:row>28</xdr:row>
      <xdr:rowOff>95249</xdr:rowOff>
    </xdr:from>
    <xdr:to>
      <xdr:col>3</xdr:col>
      <xdr:colOff>424392</xdr:colOff>
      <xdr:row>28</xdr:row>
      <xdr:rowOff>100540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C2DFC38-2DFB-4E6D-9B6D-898E8AC96EF3}"/>
            </a:ext>
          </a:extLst>
        </xdr:cNvPr>
        <xdr:cNvCxnSpPr/>
      </xdr:nvCxnSpPr>
      <xdr:spPr>
        <a:xfrm flipV="1">
          <a:off x="532342" y="5132916"/>
          <a:ext cx="1828800" cy="529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104774</xdr:rowOff>
    </xdr:from>
    <xdr:to>
      <xdr:col>8</xdr:col>
      <xdr:colOff>972911</xdr:colOff>
      <xdr:row>35</xdr:row>
      <xdr:rowOff>6803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5FD706-BE0B-4713-92AB-22AE7588F1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4774"/>
              <a:ext cx="6154511" cy="62361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</xdr:row>
      <xdr:rowOff>0</xdr:rowOff>
    </xdr:from>
    <xdr:to>
      <xdr:col>20</xdr:col>
      <xdr:colOff>423333</xdr:colOff>
      <xdr:row>25</xdr:row>
      <xdr:rowOff>105833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B0FA0A-83B5-4A98-9874-AB2D87261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163285</xdr:rowOff>
    </xdr:from>
    <xdr:to>
      <xdr:col>8</xdr:col>
      <xdr:colOff>966107</xdr:colOff>
      <xdr:row>60</xdr:row>
      <xdr:rowOff>102053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F7FF95-86AB-4E88-AF68-9A14D52C2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-1</xdr:rowOff>
    </xdr:from>
    <xdr:to>
      <xdr:col>8</xdr:col>
      <xdr:colOff>972911</xdr:colOff>
      <xdr:row>86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46C861-0021-47B0-84B6-1AE68A539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88</xdr:row>
      <xdr:rowOff>102053</xdr:rowOff>
    </xdr:from>
    <xdr:to>
      <xdr:col>8</xdr:col>
      <xdr:colOff>959304</xdr:colOff>
      <xdr:row>114</xdr:row>
      <xdr:rowOff>129268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A104BE-265E-49FB-8EB0-F79B15805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58</xdr:row>
      <xdr:rowOff>129268</xdr:rowOff>
    </xdr:from>
    <xdr:to>
      <xdr:col>20</xdr:col>
      <xdr:colOff>625928</xdr:colOff>
      <xdr:row>82</xdr:row>
      <xdr:rowOff>34018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B5CEF3-0081-423A-B794-FCBF9296F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87</xdr:row>
      <xdr:rowOff>0</xdr:rowOff>
    </xdr:from>
    <xdr:to>
      <xdr:col>21</xdr:col>
      <xdr:colOff>47625</xdr:colOff>
      <xdr:row>112</xdr:row>
      <xdr:rowOff>68036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547EBC-1641-4CCF-B0FB-C258E5F2A1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517072</xdr:colOff>
      <xdr:row>1</xdr:row>
      <xdr:rowOff>0</xdr:rowOff>
    </xdr:from>
    <xdr:to>
      <xdr:col>30</xdr:col>
      <xdr:colOff>300207</xdr:colOff>
      <xdr:row>25</xdr:row>
      <xdr:rowOff>54428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928DE85-277E-4E3D-ABEE-883BB9DB6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21</xdr:col>
      <xdr:colOff>147978</xdr:colOff>
      <xdr:row>54</xdr:row>
      <xdr:rowOff>77222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BD0164-E77B-4DE0-AD40-3B43477C5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5.090927777776" backgroundQuery="1" createdVersion="8" refreshedVersion="8" minRefreshableVersion="3" recordCount="0" supportSubquery="1" supportAdvancedDrill="1" xr:uid="{BA57CB55-043D-410A-B0E4-1B5BD6486588}">
  <cacheSource type="external" connectionId="2"/>
  <cacheFields count="3">
    <cacheField name="[Table1_1].[Date (Year)].[Date (Year)]" caption="Date (Year)" numFmtId="0" hierarchy="14" level="1">
      <sharedItems count="2">
        <s v="2023"/>
        <s v="2024"/>
      </sharedItems>
    </cacheField>
    <cacheField name="[Table1_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23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0.658099537039" backgroundQuery="1" createdVersion="8" refreshedVersion="8" minRefreshableVersion="3" recordCount="0" supportSubquery="1" supportAdvancedDrill="1" xr:uid="{1E2E7BBC-1246-465F-9CDA-DF056E7C0543}">
  <cacheSource type="external" connectionId="2"/>
  <cacheFields count="2">
    <cacheField name="[Table1_1].[CouponCode].[CouponCode]" caption="CouponCode" numFmtId="0" hierarchy="11" level="1">
      <sharedItems containsSemiMixedTypes="0" containsNonDate="0" containsString="0"/>
    </cacheField>
    <cacheField name="[Measures].[Count of CouponCode]" caption="Count of CouponCode" numFmtId="0" hierarchy="25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0" memberValueDatatype="130" unbalanced="0"/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4.558655555556" backgroundQuery="1" createdVersion="8" refreshedVersion="8" minRefreshableVersion="3" recordCount="0" supportSubquery="1" supportAdvancedDrill="1" xr:uid="{8436687A-43D8-471D-8CFF-8F586BBD02E9}">
  <cacheSource type="external" connectionId="2"/>
  <cacheFields count="4">
    <cacheField name="[Table1_1].[Date (Year)].[Date (Year)]" caption="Date (Year)" numFmtId="0" hierarchy="14" level="1">
      <sharedItems count="2">
        <s v="2023"/>
        <s v="2024"/>
      </sharedItems>
    </cacheField>
    <cacheField name="[Measures].[Count of OrderID]" caption="Count of OrderID" numFmtId="0" hierarchy="26" level="32767"/>
    <cacheField name="[Table1_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Unsupported0" numFmtId="0" hierarchy="2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9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8.478350347221" backgroundQuery="1" createdVersion="8" refreshedVersion="8" minRefreshableVersion="3" recordCount="0" supportSubquery="1" supportAdvancedDrill="1" xr:uid="{90069C7A-EDCB-49BA-A5E4-19D0061BD91A}">
  <cacheSource type="external" connectionId="2"/>
  <cacheFields count="1">
    <cacheField name="[Measures].[Sum of TotalPrice]" caption="Sum of TotalPrice" numFmtId="0" hierarchy="23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0" memberValueDatatype="130" unbalanced="0"/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5.11272488426" backgroundQuery="1" createdVersion="8" refreshedVersion="8" minRefreshableVersion="3" recordCount="0" supportSubquery="1" supportAdvancedDrill="1" xr:uid="{FBA21FE7-5455-4CB0-A894-AAA2A09F169A}">
  <cacheSource type="external" connectionId="2"/>
  <cacheFields count="3">
    <cacheField name="[Table1_1].[Date (Year)].[Date (Year)]" caption="Date (Year)" numFmtId="0" hierarchy="14" level="1">
      <sharedItems count="2">
        <s v="2023"/>
        <s v="2024"/>
      </sharedItems>
    </cacheField>
    <cacheField name="[Measures].[Count of OrderID]" caption="Count of OrderID" numFmtId="0" hierarchy="26" level="32767"/>
    <cacheField name="[Table1_1].[CouponCode].[CouponCode]" caption="CouponCode" numFmtId="0" hierarchy="11" level="1">
      <sharedItems count="4">
        <s v="FREESHIP"/>
        <s v="No Coupon"/>
        <s v="SAVE10"/>
        <s v="WINTER15"/>
      </sharedItems>
    </cacheField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0.658101504632" backgroundQuery="1" createdVersion="8" refreshedVersion="8" minRefreshableVersion="3" recordCount="0" supportSubquery="1" supportAdvancedDrill="1" xr:uid="{50404F75-CB71-4969-836F-73B4156FFB21}">
  <cacheSource type="external" connectionId="2"/>
  <cacheFields count="2">
    <cacheField name="[Table1_1].[CouponCode].[CouponCode]" caption="CouponCode" numFmtId="0" hierarchy="11" level="1">
      <sharedItems containsSemiMixedTypes="0" containsNonDate="0" containsString="0"/>
    </cacheField>
    <cacheField name="[Measures].[Count of CouponCode]" caption="Count of CouponCode" numFmtId="0" hierarchy="25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0" memberValueDatatype="130" unbalanced="0"/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5.098237615741" backgroundQuery="1" createdVersion="8" refreshedVersion="8" minRefreshableVersion="3" recordCount="0" supportSubquery="1" supportAdvancedDrill="1" xr:uid="{3E68B402-34C2-4D80-A667-01B8173EEAE2}">
  <cacheSource type="external" connectionId="2"/>
  <cacheFields count="4">
    <cacheField name="[Table1_1].[Date (Year)].[Date (Year)]" caption="Date (Year)" numFmtId="0" hierarchy="14" level="1">
      <sharedItems count="2">
        <s v="2023"/>
        <s v="2024"/>
      </sharedItems>
    </cacheField>
    <cacheField name="[Measures].[Count of OrderID]" caption="Count of OrderID" numFmtId="0" hierarchy="26" level="32767"/>
    <cacheField name="[Table1_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Unsupported0" numFmtId="0" hierarchy="2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9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5.094144328701" backgroundQuery="1" createdVersion="8" refreshedVersion="8" minRefreshableVersion="3" recordCount="0" supportSubquery="1" supportAdvancedDrill="1" xr:uid="{F13E3DB7-07BD-44DF-9D9C-3949AE3F6629}">
  <cacheSource type="external" connectionId="2"/>
  <cacheFields count="4">
    <cacheField name="[Table1_1].[Date (Year)].[Date (Year)]" caption="Date (Year)" numFmtId="0" hierarchy="14" level="1">
      <sharedItems count="2">
        <s v="2023"/>
        <s v="2024"/>
      </sharedItems>
    </cacheField>
    <cacheField name="[Measures].[Count of OrderID]" caption="Count of OrderID" numFmtId="0" hierarchy="26" level="32767"/>
    <cacheField name="[Table1_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Unsupported0" numFmtId="0" hierarchy="2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9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7.887925694442" backgroundQuery="1" createdVersion="8" refreshedVersion="8" minRefreshableVersion="3" recordCount="0" supportSubquery="1" supportAdvancedDrill="1" xr:uid="{D2073052-DAC9-4416-9ADF-C2063F7139D5}">
  <cacheSource type="external" connectionId="2"/>
  <cacheFields count="3">
    <cacheField name="[Table1_1].[Date (Year)].[Date (Year)]" caption="Date (Year)" numFmtId="0" hierarchy="14" level="1">
      <sharedItems count="2">
        <s v="2023"/>
        <s v="2024"/>
      </sharedItems>
    </cacheField>
    <cacheField name="[Table1_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23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8.478584606484" backgroundQuery="1" createdVersion="8" refreshedVersion="8" minRefreshableVersion="3" recordCount="0" supportSubquery="1" supportAdvancedDrill="1" xr:uid="{95C75E09-1AF0-4EAB-89FA-4E46C5F27A78}">
  <cacheSource type="external" connectionId="2"/>
  <cacheFields count="4">
    <cacheField name="[Table1_1].[Date (Year)].[Date (Year)]" caption="Date (Year)" numFmtId="0" hierarchy="14" level="1">
      <sharedItems count="2">
        <s v="2023"/>
        <s v="2024"/>
      </sharedItems>
    </cacheField>
    <cacheField name="[Measures].[Sum of TotalPrice]" caption="Sum of TotalPrice" numFmtId="0" hierarchy="23" level="32767"/>
    <cacheField name="[Table1_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Unsupported0" numFmtId="0" hierarchy="2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9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Unsupported0" caption="Order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5.132206249997" backgroundQuery="1" createdVersion="8" refreshedVersion="8" minRefreshableVersion="3" recordCount="0" supportSubquery="1" supportAdvancedDrill="1" xr:uid="{8F0C9E82-FE6E-44BD-84A0-328D5081F27B}">
  <cacheSource type="external" connectionId="2"/>
  <cacheFields count="2">
    <cacheField name="[Table1_1].[Date (Year)].[Date (Year)]" caption="Date (Year)" numFmtId="0" hierarchy="14" level="1">
      <sharedItems count="2">
        <s v="2023"/>
        <s v="2024"/>
      </sharedItems>
    </cacheField>
    <cacheField name="[Measures].[Sum of TotalPrice]" caption="Sum of TotalPrice" numFmtId="0" hierarchy="23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5.030716319445" backgroundQuery="1" createdVersion="8" refreshedVersion="8" minRefreshableVersion="3" recordCount="0" supportSubquery="1" supportAdvancedDrill="1" xr:uid="{5A2E7A7E-A618-42C8-883C-125FDF9D277A}">
  <cacheSource type="external" connectionId="2"/>
  <cacheFields count="3">
    <cacheField name="[Table1_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_1].[Date (Year)].[Date (Year)]" caption="Date (Year)" numFmtId="0" hierarchy="14" level="1">
      <sharedItems count="3">
        <s v="2023"/>
        <s v="2024"/>
        <s v="2025"/>
      </sharedItems>
    </cacheField>
    <cacheField name="[Measures].[Sum of TotalPrice]" caption="Sum of TotalPrice" numFmtId="0" hierarchy="23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0.658104861111" backgroundQuery="1" createdVersion="8" refreshedVersion="8" minRefreshableVersion="3" recordCount="0" supportSubquery="1" supportAdvancedDrill="1" xr:uid="{F6DBEE2E-360B-49F7-BE8C-3FD4F41145EF}">
  <cacheSource type="external" connectionId="2"/>
  <cacheFields count="1">
    <cacheField name="[Measures].[Sum of Quantity]" caption="Sum of Quantity" numFmtId="0" hierarchy="22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0" memberValueDatatype="130" unbalanced="0"/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0.658103240741" backgroundQuery="1" createdVersion="8" refreshedVersion="8" minRefreshableVersion="3" recordCount="0" supportSubquery="1" supportAdvancedDrill="1" xr:uid="{3BF78027-2761-498F-BE6F-8ECD677AD7B6}">
  <cacheSource type="external" connectionId="2"/>
  <cacheFields count="1">
    <cacheField name="[Measures].[Count of CustomerID]" caption="Count of CustomerID" numFmtId="0" hierarchy="20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0" memberValueDatatype="130" unbalanced="0"/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RLCOLLINS GEO-TECH" refreshedDate="46298.493091550925" backgroundQuery="1" createdVersion="8" refreshedVersion="8" minRefreshableVersion="3" recordCount="0" supportSubquery="1" supportAdvancedDrill="1" xr:uid="{8577D2FE-2125-4862-8364-D22465F637EA}">
  <cacheSource type="external" connectionId="2"/>
  <cacheFields count="2">
    <cacheField name="[Table1_1].[Date (Year)].[Date (Year)]" caption="Date (Year)" numFmtId="0" hierarchy="14" level="1">
      <sharedItems count="2">
        <s v="2023"/>
        <s v="2024"/>
      </sharedItems>
    </cacheField>
    <cacheField name="[Measures].[Average of TotalPrice]" caption="Average of TotalPrice" numFmtId="0" hierarchy="27" level="32767"/>
  </cacheFields>
  <cacheHierarchies count="28"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CustomerID]" caption="CustomerID" attribute="1" defaultMemberUniqueName="[Table1_1].[CustomerID].[All]" allUniqueName="[Table1_1].[CustomerID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0" memberValueDatatype="130" unbalanced="0"/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hippingAddress]" caption="ShippingAddress" attribute="1" defaultMemberUniqueName="[Table1_1].[ShippingAddress].[All]" allUniqueName="[Table1_1].[ShippingAddress].[All]" dimensionUniqueName="[Table1_1]" displayFolder="" count="0" memberValueDatatype="130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OrderStatus]" caption="OrderStatus" attribute="1" defaultMemberUniqueName="[Table1_1].[OrderStatus].[All]" allUniqueName="[Table1_1].[OrderStatus].[All]" dimensionUniqueName="[Table1_1]" displayFolder="" count="0" memberValueDatatype="130" unbalanced="0"/>
    <cacheHierarchy uniqueName="[Table1_1].[TrackingNumber]" caption="TrackingNumber" attribute="1" defaultMemberUniqueName="[Table1_1].[TrackingNumber].[All]" allUniqueName="[Table1_1].[TrackingNumber].[All]" dimensionUniqueName="[Table1_1]" displayFolder="" count="0" memberValueDatatype="130" unbalanced="0"/>
    <cacheHierarchy uniqueName="[Table1_1].[ItemsInCart]" caption="ItemsInCart" attribute="1" defaultMemberUniqueName="[Table1_1].[ItemsInCart].[All]" allUniqueName="[Table1_1].[ItemsInCart].[All]" dimensionUniqueName="[Table1_1]" displayFolder="" count="0" memberValueDatatype="20" unbalanced="0"/>
    <cacheHierarchy uniqueName="[Table1_1].[CouponCode]" caption="CouponCode" attribute="1" defaultMemberUniqueName="[Table1_1].[CouponCode].[All]" allUniqueName="[Table1_1].[CouponCode].[All]" dimensionUniqueName="[Table1_1]" displayFolder="" count="0" memberValueDatatype="130" unbalanced="0"/>
    <cacheHierarchy uniqueName="[Table1_1].[ReferralSource]" caption="ReferralSource" attribute="1" defaultMemberUniqueName="[Table1_1].[ReferralSource].[All]" allUniqueName="[Table1_1].[ReferralSource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Date (Year)]" caption="Date (Year)" attribute="1" defaultMemberUniqueName="[Table1_1].[Date (Year)].[All]" allUniqueName="[Table1_1].[Date (Year)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Date (Quarter)]" caption="Date (Quarter)" attribute="1" defaultMemberUniqueName="[Table1_1].[Date (Quarter)].[All]" allUniqueName="[Table1_1].[Date (Quarter)].[All]" dimensionUniqueName="[Table1_1]" displayFolder="" count="0" memberValueDatatype="130" unbalanced="0"/>
    <cacheHierarchy uniqueName="[Table1_1].[Date (Month)]" caption="Date (Month)" attribute="1" defaultMemberUniqueName="[Table1_1].[Date (Month)].[All]" allUniqueName="[Table1_1].[Date (Month)].[All]" dimensionUniqueName="[Table1_1]" displayFolder="" count="0" memberValueDatatype="130" unbalanced="0"/>
    <cacheHierarchy uniqueName="[Table1_1].[Date (Month Index)]" caption="Date (Month Index)" attribute="1" defaultMemberUniqueName="[Table1_1].[Date (Month Index)].[All]" allUniqueName="[Table1_1].[Date (Month Index)].[All]" dimensionUniqueName="[Table1_1]" displayFolder="" count="0" memberValueDatatype="20" unbalanced="0" hidden="1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Quantity]" caption="Count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Quantity]" caption="Sum of Quantity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Price]" caption="Sum of TotalPrice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roduct]" caption="Count of Product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uponCode]" caption="Count of CouponCode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ID]" caption="Count of Order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Price]" caption="Average of TotalPric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755E2-33EF-4918-8088-A665949FD22F}" name="PivotTable14" cacheId="61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8" rowHeaderCaption="Order Status">
  <location ref="K3:K4" firstHeaderRow="1" firstDataRow="1" firstDataCol="0"/>
  <pivotFields count="2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Items count="1">
    <i/>
  </rowItems>
  <colItems count="1">
    <i/>
  </colItems>
  <dataFields count="1">
    <dataField name="Average of Order Value" fld="1" subtotal="average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D2432-5AFB-4D0C-AA50-BFD734EAD4DE}" name="PivotTable15" cacheId="40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8" rowHeaderCaption="Customer Acquisition Channel">
  <location ref="A39:B45" firstHeaderRow="1" firstDataRow="1" firstDataCol="1"/>
  <pivotFields count="3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Performance By Customer Acquisition Channel" fld="2" showDataAs="percentOfTotal" baseField="0" baseItem="0" numFmtId="1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BFB46-E483-450C-A4D1-1CA0C1A1120B}" name="PivotTable7" cacheId="41" applyNumberFormats="0" applyBorderFormats="0" applyFontFormats="0" applyPatternFormats="0" applyAlignmentFormats="0" applyWidthHeightFormats="1" dataCaption="Values" tag="efc634fc-81e5-4b52-a8a3-79a5681d3923" updatedVersion="8" minRefreshableVersion="3" useAutoFormatting="1" subtotalHiddenItems="1" itemPrintTitles="1" createdVersion="8" indent="0" outline="1" outlineData="1" multipleFieldFilters="0">
  <location ref="I3:I4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11" name="[Table1_1].[CouponCode].&amp;[No Coupon]" cap="No Coupon"/>
  </pageFields>
  <dataFields count="1">
    <dataField name="No Coupon Orders"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 caption="Total Revenue Generated"/>
    <pivotHierarchy dragToData="1"/>
    <pivotHierarchy dragToData="1" caption="No Coupon Orders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FEF72-8501-4D7D-AD14-25E15CDA6C7A}" name="PivotTable12" cacheId="42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11" rowHeaderCaption="Customer Acquisition Channel">
  <location ref="H27:J33" firstHeaderRow="0" firstDataRow="1" firstDataCol="1"/>
  <pivotFields count="4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" fld="1" subtotal="count" baseField="0" baseItem="0"/>
    <dataField name="% of Order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OrderID]"/>
        </ext>
      </extLst>
    </dataField>
  </dataFields>
  <chartFormats count="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DDB4D-CF28-432E-9437-7A12D5A91DC7}" name="PivotTable4" cacheId="43" applyNumberFormats="0" applyBorderFormats="0" applyFontFormats="0" applyPatternFormats="0" applyAlignmentFormats="0" applyWidthHeightFormats="1" dataCaption="Values" tag="a5a9e375-5a58-4b5f-bcb7-025bfe262fbe" updatedVersion="8" minRefreshableVersion="3" useAutoFormatting="1" subtotalHiddenItems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 Value" fld="0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 caption="Total Revenue Generate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25450-6D25-47ED-9B0D-C6473F11B72C}" name="PivotTable11" cacheId="44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6" rowHeaderCaption="Coupon Code">
  <location ref="A32:B37" firstHeaderRow="1" firstDataRow="1" firstDataCol="1"/>
  <pivotFields count="3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otional Offer Usage Status" fld="1" subtotal="count" showDataAs="percentOfTotal" baseField="0" baseItem="0" numFmtId="1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52C31-5D35-4AE0-9BB4-3EC0802EAFD8}" name="PivotTable5" cacheId="45" applyNumberFormats="0" applyBorderFormats="0" applyFontFormats="0" applyPatternFormats="0" applyAlignmentFormats="0" applyWidthHeightFormats="1" dataCaption="Values" tag="6eca4b85-b177-4185-8250-5d2061e881ea" updatedVersion="8" minRefreshableVersion="3" useAutoFormatting="1" subtotalHiddenItems="1" itemPrintTitles="1" createdVersion="8" indent="0" outline="1" outlineData="1" multipleFieldFilters="0">
  <location ref="G3:G4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11" name="[Table1_1].[CouponCode].&amp;[SAVE10]" cap="SAVE10"/>
  </pageFields>
  <dataFields count="1">
    <dataField name="Total Coupon "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Table1_1].[CouponCode].&amp;[SAVE10]"/>
        <member name="[Table1_1].[CouponCode].&amp;[FREESHIP]"/>
        <member name="[Table1_1].[CouponCode].&amp;[WINTER1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 caption="Total Coupon 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566A3-0079-419B-AD35-E827C99E58B7}" name="PivotTable13" cacheId="46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11" rowHeaderCaption="Payment Method">
  <location ref="H35:J41" firstHeaderRow="0" firstDataRow="1" firstDataCol="1"/>
  <pivotFields count="4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" fld="1" subtotal="count" baseField="0" baseItem="0"/>
    <dataField name="Sales By Payment Method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OrderID]"/>
        </ext>
      </extLst>
    </dataField>
  </dataFields>
  <chartFormats count="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F5FAC-83B1-4369-9E0D-D8445B9C9031}" name="PivotTable9" cacheId="47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11" rowHeaderCaption="Order Status">
  <location ref="H11:J17" firstHeaderRow="0" firstDataRow="1" firstDataCol="1"/>
  <pivotFields count="4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" fld="1" subtotal="count" baseField="0" baseItem="0"/>
    <dataField name="Order Fulfilment Status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OrderID]"/>
        </ext>
      </extLst>
    </dataField>
  </dataFields>
  <chartFormats count="4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B9661-2530-4B44-9A5B-2856311B6535}" name="PivotTable8" cacheId="48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16" rowHeaderCaption="Products">
  <location ref="A22:B30" firstHeaderRow="1" firstDataRow="1" firstDataCol="1"/>
  <pivotFields count="3"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% Order Value" fld="2" showDataAs="percentOfTotal" baseField="0" baseItem="0" numFmtId="10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4CA36-96AC-486F-ADDB-D8146E04E570}" name="PivotTable10" cacheId="49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rowHeaderCaption="Order Status">
  <location ref="H19:J25" firstHeaderRow="0" firstDataRow="1" firstDataCol="1"/>
  <pivotFields count="4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 Value" fld="1" baseField="0" baseItem="0"/>
    <dataField name="% Revenue" fld="3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otalPrice]"/>
        </ext>
      </extLst>
    </dataField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DEADA-8E30-40F7-AF6E-C0B699D7752B}" name="PivotTable1" cacheId="50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11">
  <location ref="H6:I9" firstHeaderRow="1" firstDataRow="1" firstDataCol="1"/>
  <pivotFields count="2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nnual Revenue Performance" fld="1" showDataAs="percentOfTotal" baseField="0" baseItem="0" numFmtId="10"/>
  </dataFields>
  <chartFormats count="3"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5DCBA-71A2-4925-AB84-ECCA8AC890F8}" name="PivotTable6" cacheId="51" applyNumberFormats="0" applyBorderFormats="0" applyFontFormats="0" applyPatternFormats="0" applyAlignmentFormats="0" applyWidthHeightFormats="1" dataCaption="Values" tag="b3317992-2509-4e38-a51e-0a02b90eaa37" updatedVersion="8" minRefreshableVersion="3" useAutoFormatting="1" subtotalHiddenItems="1" itemPrintTitles="1" createdVersion="8" indent="0" outline="1" outlineData="1" multipleFieldFilters="0" chartFormat="22" rowHeaderCaption="Months">
  <location ref="A6:E20" firstHeaderRow="1" firstDataRow="2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Order Value By Month" fld="2" baseField="0" baseItem="0"/>
  </dataFields>
  <chartFormats count="7"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074FB-C3F7-4A1E-91FC-518B1883E5BC}" name="PivotTable3" cacheId="52" applyNumberFormats="0" applyBorderFormats="0" applyFontFormats="0" applyPatternFormats="0" applyAlignmentFormats="0" applyWidthHeightFormats="1" dataCaption="Values" tag="572613fd-0262-4827-964f-68f883f4ebf0" updatedVersion="8" minRefreshableVersion="3" useAutoFormatting="1" subtotalHiddenItems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Ordered Products" fld="0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Transactions"/>
    <pivotHierarchy dragToData="1"/>
    <pivotHierarchy dragToData="1" caption="Total Ordered Product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A23E2-4367-4C16-9FD5-BA1CA3B1ED28}" name="PivotTable2" cacheId="53" applyNumberFormats="0" applyBorderFormats="0" applyFontFormats="0" applyPatternFormats="0" applyAlignmentFormats="0" applyWidthHeightFormats="1" dataCaption="Values" tag="7394a9e4-0b02-429a-8b12-72d7635da00e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Number of Order" fld="0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Number of Orde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B01BA1-D8F7-4B4C-924C-ACFA10EA66B4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E4FAD6-E95B-46F3-8EB1-EE7803C9C0BF}" name="Table1_1" displayName="Table1_1" ref="A1:N1201" tableType="queryTable" totalsRowShown="0">
  <autoFilter ref="A1:N1201" xr:uid="{F6E4FAD6-E95B-46F3-8EB1-EE7803C9C0BF}"/>
  <tableColumns count="14">
    <tableColumn id="1" xr3:uid="{6AFA23EE-FC65-458B-B8C2-CB109166626E}" uniqueName="1" name="OrderID" queryTableFieldId="1" dataDxfId="18"/>
    <tableColumn id="2" xr3:uid="{D556450C-22E1-46D6-A70E-113B78C0063E}" uniqueName="2" name="Date" queryTableFieldId="2" dataDxfId="17"/>
    <tableColumn id="3" xr3:uid="{1D677699-435B-4160-947C-415B58DCE9B4}" uniqueName="3" name="CustomerID" queryTableFieldId="3" dataDxfId="16"/>
    <tableColumn id="4" xr3:uid="{AE96B2E1-8CA8-41EA-A41E-2D7626607F96}" uniqueName="4" name="Product" queryTableFieldId="4" dataDxfId="15"/>
    <tableColumn id="5" xr3:uid="{3215827F-6AF9-4AEC-BDE3-3C44B1768130}" uniqueName="5" name="Quantity" queryTableFieldId="5" dataDxfId="14"/>
    <tableColumn id="6" xr3:uid="{E90929E7-FCBB-42FD-88D6-033C46960A7B}" uniqueName="6" name="UnitPrice" queryTableFieldId="6" dataDxfId="13"/>
    <tableColumn id="7" xr3:uid="{4FF9C386-E6A0-43F0-9EB8-5BCC3E5B2272}" uniqueName="7" name="ShippingAddress" queryTableFieldId="7" dataDxfId="12"/>
    <tableColumn id="8" xr3:uid="{3F30FBC4-F024-404A-B2B9-0321CFE9BE16}" uniqueName="8" name="PaymentMethod" queryTableFieldId="8" dataDxfId="11"/>
    <tableColumn id="9" xr3:uid="{D21ED2FA-6AE2-4166-8F41-36854FCCB1FA}" uniqueName="9" name="OrderStatus" queryTableFieldId="9" dataDxfId="10"/>
    <tableColumn id="10" xr3:uid="{87798851-34B1-4D47-95F5-95C126692329}" uniqueName="10" name="TrackingNumber" queryTableFieldId="10" dataDxfId="9"/>
    <tableColumn id="11" xr3:uid="{1DFC3FBE-B0F9-48CF-9AED-5571663540AB}" uniqueName="11" name="ItemsInCart" queryTableFieldId="11" dataDxfId="8"/>
    <tableColumn id="12" xr3:uid="{1996FC32-1E37-4E90-9751-F32D4B5013C5}" uniqueName="12" name="CouponCode" queryTableFieldId="12" dataDxfId="7"/>
    <tableColumn id="13" xr3:uid="{D2768627-7D35-4787-9FC2-8A2A0EBD744E}" uniqueName="13" name="ReferralSource" queryTableFieldId="13" dataDxfId="6"/>
    <tableColumn id="14" xr3:uid="{5AEAEFAC-C8E8-4895-93BA-574B12ED65E1}" uniqueName="14" name="TotalPrice" queryTableFieldId="14" dataDxfId="5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C182D-D5B5-46AC-9B22-2CFC9495E6E0}" name="Table1" displayName="Table1" ref="A1:N1201" totalsRowShown="0" headerRowDxfId="4" headerRowBorderDxfId="3" tableBorderDxfId="2">
  <autoFilter ref="A1:N1201" xr:uid="{49DC182D-D5B5-46AC-9B22-2CFC9495E6E0}"/>
  <tableColumns count="14">
    <tableColumn id="1" xr3:uid="{19D34065-C00C-4EEA-BD96-B8E25AC8FE04}" name="OrderID"/>
    <tableColumn id="2" xr3:uid="{C0CCEDDE-23F4-4671-B3AC-3C69B3012A29}" name="Date" dataDxfId="1"/>
    <tableColumn id="3" xr3:uid="{19ACEB4A-AE47-4BB8-B05B-0BA2B0F55F53}" name="CustomerID"/>
    <tableColumn id="4" xr3:uid="{CC6BF1F0-2FCD-4F81-A1A1-EB47D68ECFFB}" name="Product"/>
    <tableColumn id="5" xr3:uid="{932C4A2F-CBEC-419B-A29F-4FAB0B5A280B}" name="Quantity"/>
    <tableColumn id="6" xr3:uid="{47FAEA11-A9DC-4BD5-A2A3-6CD299E64667}" name="UnitPrice"/>
    <tableColumn id="7" xr3:uid="{56FA6ABE-72D0-48BC-AE39-28199259ECFC}" name="ShippingAddress"/>
    <tableColumn id="8" xr3:uid="{451EA7B4-935F-4CFF-ACD3-56240C7F3DBE}" name="PaymentMethod"/>
    <tableColumn id="9" xr3:uid="{411F34F6-DE31-4A03-A457-59FA92A9DFF8}" name="OrderStatus"/>
    <tableColumn id="10" xr3:uid="{89ED84A8-BABE-49C0-B9AA-84488B6520E3}" name="TrackingNumber"/>
    <tableColumn id="11" xr3:uid="{3A1EEE76-2DF1-43F7-AA4D-43E7378C8826}" name="ItemsInCart"/>
    <tableColumn id="12" xr3:uid="{7428BA59-2EB0-4928-AC03-B6EDC28D966B}" name="CouponCode"/>
    <tableColumn id="13" xr3:uid="{1888CA93-66A9-4B6F-9374-5C1015B22431}" name="ReferralSource"/>
    <tableColumn id="14" xr3:uid="{D7577867-871B-4E92-BD2A-B7E1FAE399F6}" name="Total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54CDE5-98B1-43A2-8924-30D8CBB1DF81}" name="Table3" displayName="Table3" ref="A1:D9" totalsRowShown="0" headerRowDxfId="0">
  <autoFilter ref="A1:D9" xr:uid="{0754CDE5-98B1-43A2-8924-30D8CBB1DF81}"/>
  <tableColumns count="4">
    <tableColumn id="1" xr3:uid="{D3A05779-5792-400E-8404-FDF02EB6FA9E}" name="Change ID"/>
    <tableColumn id="2" xr3:uid="{6F7F2E55-1C5C-478F-BDA2-2F30EDFB5DAC}" name="Description"/>
    <tableColumn id="3" xr3:uid="{3D9D7EDD-DA6E-4DBA-8A4D-CD7D9EC3E67E}" name="Impact"/>
    <tableColumn id="4" xr3:uid="{0083501F-2D88-475C-9EA4-68202C101D4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E420-2D32-430A-8A96-75140D2179BE}">
  <dimension ref="A1"/>
  <sheetViews>
    <sheetView showGridLines="0" tabSelected="1" zoomScale="90" zoomScaleNormal="90" workbookViewId="0">
      <selection activeCell="S19" sqref="S19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51B-A03D-4B6C-B9CA-624F24F3E884}">
  <dimension ref="K1"/>
  <sheetViews>
    <sheetView showGridLines="0" topLeftCell="A58" zoomScale="70" zoomScaleNormal="70" workbookViewId="0">
      <selection activeCell="S85" sqref="S85"/>
    </sheetView>
  </sheetViews>
  <sheetFormatPr defaultRowHeight="14.25" x14ac:dyDescent="0.45"/>
  <cols>
    <col min="9" max="9" width="14.06640625" customWidth="1"/>
    <col min="10" max="10" width="8.6640625" customWidth="1"/>
    <col min="11" max="11" width="7.9296875" style="35" customWidth="1"/>
    <col min="12" max="12" width="7.9296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DC99-CC51-416F-8D21-078CE4340A47}">
  <dimension ref="A1:T45"/>
  <sheetViews>
    <sheetView zoomScale="80" zoomScaleNormal="80" workbookViewId="0">
      <selection activeCell="K3" sqref="K3"/>
    </sheetView>
  </sheetViews>
  <sheetFormatPr defaultRowHeight="14.25" x14ac:dyDescent="0.45"/>
  <cols>
    <col min="1" max="1" width="13.6640625" customWidth="1"/>
    <col min="2" max="2" width="12.3984375" bestFit="1" customWidth="1"/>
    <col min="3" max="3" width="26.6640625" bestFit="1" customWidth="1"/>
    <col min="4" max="4" width="15" bestFit="1" customWidth="1"/>
    <col min="5" max="5" width="15.1328125" bestFit="1" customWidth="1"/>
    <col min="6" max="6" width="5.73046875" style="35" bestFit="1" customWidth="1"/>
    <col min="7" max="7" width="12.06640625" bestFit="1" customWidth="1"/>
    <col min="8" max="8" width="13.46484375" bestFit="1" customWidth="1"/>
    <col min="9" max="9" width="15.1328125" bestFit="1" customWidth="1"/>
    <col min="10" max="10" width="9.73046875" bestFit="1" customWidth="1"/>
    <col min="11" max="11" width="19.9296875" bestFit="1" customWidth="1"/>
    <col min="12" max="13" width="15" bestFit="1" customWidth="1"/>
    <col min="14" max="14" width="5.73046875" style="35" bestFit="1" customWidth="1"/>
    <col min="15" max="20" width="5.73046875" bestFit="1" customWidth="1"/>
    <col min="21" max="22" width="4.73046875" bestFit="1" customWidth="1"/>
    <col min="23" max="27" width="5.73046875" bestFit="1" customWidth="1"/>
    <col min="28" max="31" width="6.73046875" bestFit="1" customWidth="1"/>
    <col min="32" max="33" width="5.73046875" bestFit="1" customWidth="1"/>
    <col min="34" max="35" width="6.73046875" bestFit="1" customWidth="1"/>
    <col min="36" max="36" width="5.73046875" bestFit="1" customWidth="1"/>
    <col min="37" max="47" width="6.73046875" bestFit="1" customWidth="1"/>
    <col min="48" max="48" width="3.73046875" bestFit="1" customWidth="1"/>
    <col min="49" max="49" width="5.73046875" bestFit="1" customWidth="1"/>
    <col min="50" max="54" width="6.73046875" bestFit="1" customWidth="1"/>
    <col min="55" max="55" width="5.73046875" bestFit="1" customWidth="1"/>
    <col min="56" max="56" width="6.73046875" bestFit="1" customWidth="1"/>
    <col min="57" max="57" width="5.73046875" bestFit="1" customWidth="1"/>
    <col min="58" max="67" width="6.73046875" bestFit="1" customWidth="1"/>
    <col min="68" max="68" width="5.73046875" bestFit="1" customWidth="1"/>
    <col min="69" max="76" width="6.73046875" bestFit="1" customWidth="1"/>
    <col min="77" max="77" width="5.73046875" bestFit="1" customWidth="1"/>
    <col min="78" max="78" width="3.73046875" bestFit="1" customWidth="1"/>
    <col min="79" max="80" width="6.73046875" bestFit="1" customWidth="1"/>
    <col min="81" max="82" width="5.73046875" bestFit="1" customWidth="1"/>
    <col min="83" max="83" width="6.73046875" bestFit="1" customWidth="1"/>
    <col min="84" max="84" width="5.73046875" bestFit="1" customWidth="1"/>
    <col min="85" max="87" width="6.73046875" bestFit="1" customWidth="1"/>
    <col min="88" max="88" width="5.73046875" bestFit="1" customWidth="1"/>
    <col min="89" max="92" width="6.73046875" bestFit="1" customWidth="1"/>
    <col min="93" max="95" width="5.73046875" bestFit="1" customWidth="1"/>
    <col min="96" max="100" width="6.73046875" bestFit="1" customWidth="1"/>
    <col min="101" max="101" width="3.73046875" bestFit="1" customWidth="1"/>
    <col min="102" max="104" width="6.73046875" bestFit="1" customWidth="1"/>
    <col min="105" max="105" width="5.73046875" bestFit="1" customWidth="1"/>
    <col min="106" max="106" width="6.73046875" bestFit="1" customWidth="1"/>
    <col min="107" max="107" width="5.73046875" bestFit="1" customWidth="1"/>
    <col min="108" max="113" width="6.73046875" bestFit="1" customWidth="1"/>
    <col min="114" max="114" width="5.73046875" bestFit="1" customWidth="1"/>
    <col min="115" max="118" width="6.73046875" bestFit="1" customWidth="1"/>
    <col min="119" max="119" width="5.73046875" bestFit="1" customWidth="1"/>
    <col min="120" max="122" width="6.73046875" bestFit="1" customWidth="1"/>
    <col min="123" max="123" width="5.73046875" bestFit="1" customWidth="1"/>
    <col min="124" max="126" width="6.73046875" bestFit="1" customWidth="1"/>
    <col min="127" max="127" width="5.73046875" bestFit="1" customWidth="1"/>
    <col min="128" max="128" width="6.73046875" bestFit="1" customWidth="1"/>
    <col min="129" max="129" width="5.73046875" bestFit="1" customWidth="1"/>
    <col min="130" max="133" width="6.73046875" bestFit="1" customWidth="1"/>
    <col min="134" max="134" width="5.73046875" bestFit="1" customWidth="1"/>
    <col min="135" max="135" width="6.73046875" bestFit="1" customWidth="1"/>
    <col min="136" max="136" width="5.73046875" bestFit="1" customWidth="1"/>
    <col min="137" max="138" width="6.73046875" bestFit="1" customWidth="1"/>
    <col min="139" max="139" width="5.73046875" bestFit="1" customWidth="1"/>
    <col min="140" max="140" width="6.73046875" bestFit="1" customWidth="1"/>
    <col min="141" max="141" width="5.73046875" bestFit="1" customWidth="1"/>
    <col min="142" max="143" width="6.73046875" bestFit="1" customWidth="1"/>
    <col min="144" max="144" width="5.73046875" bestFit="1" customWidth="1"/>
    <col min="145" max="159" width="6.73046875" bestFit="1" customWidth="1"/>
    <col min="160" max="160" width="5.73046875" bestFit="1" customWidth="1"/>
    <col min="161" max="170" width="6.73046875" bestFit="1" customWidth="1"/>
    <col min="171" max="171" width="5.73046875" bestFit="1" customWidth="1"/>
    <col min="172" max="172" width="6.73046875" bestFit="1" customWidth="1"/>
    <col min="173" max="173" width="5.73046875" bestFit="1" customWidth="1"/>
    <col min="174" max="176" width="6.73046875" bestFit="1" customWidth="1"/>
    <col min="177" max="177" width="5.73046875" bestFit="1" customWidth="1"/>
    <col min="178" max="179" width="6.73046875" bestFit="1" customWidth="1"/>
    <col min="180" max="180" width="5.73046875" bestFit="1" customWidth="1"/>
    <col min="181" max="187" width="6.73046875" bestFit="1" customWidth="1"/>
    <col min="188" max="188" width="5.73046875" bestFit="1" customWidth="1"/>
    <col min="189" max="193" width="6.73046875" bestFit="1" customWidth="1"/>
    <col min="194" max="194" width="5.73046875" bestFit="1" customWidth="1"/>
    <col min="195" max="199" width="6.73046875" bestFit="1" customWidth="1"/>
    <col min="200" max="201" width="5.73046875" bestFit="1" customWidth="1"/>
    <col min="202" max="226" width="6.73046875" bestFit="1" customWidth="1"/>
    <col min="227" max="227" width="5.73046875" bestFit="1" customWidth="1"/>
    <col min="228" max="241" width="6.73046875" bestFit="1" customWidth="1"/>
    <col min="242" max="242" width="5.73046875" bestFit="1" customWidth="1"/>
    <col min="243" max="248" width="6.73046875" bestFit="1" customWidth="1"/>
    <col min="249" max="249" width="5.73046875" bestFit="1" customWidth="1"/>
    <col min="250" max="256" width="6.73046875" bestFit="1" customWidth="1"/>
    <col min="257" max="258" width="5.73046875" bestFit="1" customWidth="1"/>
    <col min="259" max="263" width="6.73046875" bestFit="1" customWidth="1"/>
    <col min="264" max="264" width="5.73046875" bestFit="1" customWidth="1"/>
    <col min="265" max="269" width="6.73046875" bestFit="1" customWidth="1"/>
    <col min="270" max="270" width="5.73046875" bestFit="1" customWidth="1"/>
    <col min="271" max="274" width="6.73046875" bestFit="1" customWidth="1"/>
    <col min="275" max="275" width="5.73046875" bestFit="1" customWidth="1"/>
    <col min="276" max="276" width="6.73046875" bestFit="1" customWidth="1"/>
    <col min="277" max="277" width="5.73046875" bestFit="1" customWidth="1"/>
    <col min="278" max="278" width="6.73046875" bestFit="1" customWidth="1"/>
    <col min="279" max="279" width="5.73046875" bestFit="1" customWidth="1"/>
    <col min="280" max="284" width="6.73046875" bestFit="1" customWidth="1"/>
    <col min="285" max="290" width="7.73046875" bestFit="1" customWidth="1"/>
    <col min="291" max="291" width="4.73046875" bestFit="1" customWidth="1"/>
    <col min="292" max="298" width="7.73046875" bestFit="1" customWidth="1"/>
    <col min="299" max="299" width="6.73046875" bestFit="1" customWidth="1"/>
    <col min="300" max="303" width="7.73046875" bestFit="1" customWidth="1"/>
    <col min="304" max="304" width="4.73046875" bestFit="1" customWidth="1"/>
    <col min="305" max="307" width="7.73046875" bestFit="1" customWidth="1"/>
    <col min="308" max="308" width="6.73046875" bestFit="1" customWidth="1"/>
    <col min="309" max="310" width="7.73046875" bestFit="1" customWidth="1"/>
    <col min="311" max="311" width="4.73046875" bestFit="1" customWidth="1"/>
    <col min="312" max="317" width="7.73046875" bestFit="1" customWidth="1"/>
    <col min="318" max="318" width="6.73046875" bestFit="1" customWidth="1"/>
    <col min="319" max="324" width="7.73046875" bestFit="1" customWidth="1"/>
    <col min="325" max="325" width="6.73046875" bestFit="1" customWidth="1"/>
    <col min="326" max="331" width="7.73046875" bestFit="1" customWidth="1"/>
    <col min="332" max="333" width="6.73046875" bestFit="1" customWidth="1"/>
    <col min="334" max="334" width="7.73046875" bestFit="1" customWidth="1"/>
    <col min="335" max="335" width="6.73046875" bestFit="1" customWidth="1"/>
    <col min="336" max="339" width="7.73046875" bestFit="1" customWidth="1"/>
    <col min="340" max="340" width="6.73046875" bestFit="1" customWidth="1"/>
    <col min="341" max="342" width="7.73046875" bestFit="1" customWidth="1"/>
    <col min="343" max="345" width="6.73046875" bestFit="1" customWidth="1"/>
    <col min="346" max="346" width="7.73046875" bestFit="1" customWidth="1"/>
    <col min="347" max="347" width="6.73046875" bestFit="1" customWidth="1"/>
    <col min="348" max="356" width="7.73046875" bestFit="1" customWidth="1"/>
    <col min="357" max="357" width="6.73046875" bestFit="1" customWidth="1"/>
    <col min="358" max="369" width="7.73046875" bestFit="1" customWidth="1"/>
    <col min="370" max="372" width="6.73046875" bestFit="1" customWidth="1"/>
    <col min="373" max="375" width="7.73046875" bestFit="1" customWidth="1"/>
    <col min="376" max="376" width="6.73046875" bestFit="1" customWidth="1"/>
    <col min="377" max="381" width="7.73046875" bestFit="1" customWidth="1"/>
    <col min="382" max="382" width="6.73046875" bestFit="1" customWidth="1"/>
    <col min="383" max="389" width="7.73046875" bestFit="1" customWidth="1"/>
    <col min="390" max="390" width="6.73046875" bestFit="1" customWidth="1"/>
    <col min="391" max="392" width="7.73046875" bestFit="1" customWidth="1"/>
    <col min="393" max="393" width="6.73046875" bestFit="1" customWidth="1"/>
    <col min="394" max="396" width="7.73046875" bestFit="1" customWidth="1"/>
    <col min="397" max="397" width="6.73046875" bestFit="1" customWidth="1"/>
    <col min="398" max="398" width="7.73046875" bestFit="1" customWidth="1"/>
    <col min="399" max="400" width="6.73046875" bestFit="1" customWidth="1"/>
    <col min="401" max="406" width="7.73046875" bestFit="1" customWidth="1"/>
    <col min="407" max="407" width="4.73046875" bestFit="1" customWidth="1"/>
    <col min="408" max="409" width="7.73046875" bestFit="1" customWidth="1"/>
    <col min="410" max="410" width="6.73046875" bestFit="1" customWidth="1"/>
    <col min="411" max="414" width="7.73046875" bestFit="1" customWidth="1"/>
    <col min="415" max="415" width="6.73046875" bestFit="1" customWidth="1"/>
    <col min="416" max="421" width="7.73046875" bestFit="1" customWidth="1"/>
    <col min="422" max="422" width="6.73046875" bestFit="1" customWidth="1"/>
    <col min="423" max="436" width="7.73046875" bestFit="1" customWidth="1"/>
    <col min="437" max="437" width="6.73046875" bestFit="1" customWidth="1"/>
    <col min="438" max="438" width="4.73046875" bestFit="1" customWidth="1"/>
    <col min="439" max="439" width="7.73046875" bestFit="1" customWidth="1"/>
    <col min="440" max="440" width="6.73046875" bestFit="1" customWidth="1"/>
    <col min="441" max="441" width="7.73046875" bestFit="1" customWidth="1"/>
    <col min="442" max="443" width="6.73046875" bestFit="1" customWidth="1"/>
    <col min="444" max="448" width="7.73046875" bestFit="1" customWidth="1"/>
    <col min="449" max="449" width="6.73046875" bestFit="1" customWidth="1"/>
    <col min="450" max="451" width="7.73046875" bestFit="1" customWidth="1"/>
    <col min="452" max="453" width="6.73046875" bestFit="1" customWidth="1"/>
    <col min="454" max="455" width="7.73046875" bestFit="1" customWidth="1"/>
    <col min="456" max="456" width="6.73046875" bestFit="1" customWidth="1"/>
    <col min="457" max="459" width="7.73046875" bestFit="1" customWidth="1"/>
    <col min="460" max="461" width="6.73046875" bestFit="1" customWidth="1"/>
    <col min="462" max="468" width="7.73046875" bestFit="1" customWidth="1"/>
    <col min="469" max="469" width="6.73046875" bestFit="1" customWidth="1"/>
    <col min="470" max="471" width="7.73046875" bestFit="1" customWidth="1"/>
    <col min="472" max="472" width="6.73046875" bestFit="1" customWidth="1"/>
    <col min="473" max="473" width="7.73046875" bestFit="1" customWidth="1"/>
    <col min="474" max="474" width="6.73046875" bestFit="1" customWidth="1"/>
    <col min="475" max="475" width="4.73046875" bestFit="1" customWidth="1"/>
    <col min="476" max="484" width="7.73046875" bestFit="1" customWidth="1"/>
    <col min="485" max="486" width="6.73046875" bestFit="1" customWidth="1"/>
    <col min="487" max="487" width="7.73046875" bestFit="1" customWidth="1"/>
    <col min="488" max="488" width="6.73046875" bestFit="1" customWidth="1"/>
    <col min="489" max="491" width="7.73046875" bestFit="1" customWidth="1"/>
    <col min="492" max="492" width="4.73046875" bestFit="1" customWidth="1"/>
    <col min="493" max="493" width="7.73046875" bestFit="1" customWidth="1"/>
    <col min="494" max="495" width="6.73046875" bestFit="1" customWidth="1"/>
    <col min="496" max="498" width="7.73046875" bestFit="1" customWidth="1"/>
    <col min="499" max="499" width="6.73046875" bestFit="1" customWidth="1"/>
    <col min="500" max="500" width="7.73046875" bestFit="1" customWidth="1"/>
    <col min="501" max="502" width="6.73046875" bestFit="1" customWidth="1"/>
    <col min="503" max="503" width="7.73046875" bestFit="1" customWidth="1"/>
    <col min="504" max="504" width="4.73046875" bestFit="1" customWidth="1"/>
    <col min="505" max="505" width="7.73046875" bestFit="1" customWidth="1"/>
    <col min="506" max="508" width="6.73046875" bestFit="1" customWidth="1"/>
    <col min="509" max="509" width="7.73046875" bestFit="1" customWidth="1"/>
    <col min="510" max="510" width="6.73046875" bestFit="1" customWidth="1"/>
    <col min="511" max="511" width="6.53125" bestFit="1" customWidth="1"/>
    <col min="512" max="517" width="5.73046875" bestFit="1" customWidth="1"/>
    <col min="518" max="518" width="4.73046875" bestFit="1" customWidth="1"/>
    <col min="519" max="519" width="5.73046875" bestFit="1" customWidth="1"/>
    <col min="520" max="520" width="2.73046875" bestFit="1" customWidth="1"/>
    <col min="521" max="523" width="5.73046875" bestFit="1" customWidth="1"/>
    <col min="524" max="524" width="4.73046875" bestFit="1" customWidth="1"/>
    <col min="525" max="529" width="5.73046875" bestFit="1" customWidth="1"/>
    <col min="530" max="530" width="2.73046875" bestFit="1" customWidth="1"/>
    <col min="531" max="531" width="4.73046875" bestFit="1" customWidth="1"/>
    <col min="532" max="532" width="5.73046875" bestFit="1" customWidth="1"/>
    <col min="533" max="534" width="6.73046875" bestFit="1" customWidth="1"/>
    <col min="535" max="535" width="5.73046875" bestFit="1" customWidth="1"/>
    <col min="536" max="536" width="6.73046875" bestFit="1" customWidth="1"/>
    <col min="537" max="537" width="5.73046875" bestFit="1" customWidth="1"/>
    <col min="538" max="538" width="6.73046875" bestFit="1" customWidth="1"/>
    <col min="539" max="539" width="5.73046875" bestFit="1" customWidth="1"/>
    <col min="540" max="542" width="6.73046875" bestFit="1" customWidth="1"/>
    <col min="543" max="543" width="5.73046875" bestFit="1" customWidth="1"/>
    <col min="544" max="555" width="6.73046875" bestFit="1" customWidth="1"/>
    <col min="556" max="556" width="5.73046875" bestFit="1" customWidth="1"/>
    <col min="557" max="575" width="6.73046875" bestFit="1" customWidth="1"/>
    <col min="576" max="576" width="5.73046875" bestFit="1" customWidth="1"/>
    <col min="577" max="594" width="6.73046875" bestFit="1" customWidth="1"/>
    <col min="595" max="595" width="5.73046875" bestFit="1" customWidth="1"/>
    <col min="596" max="596" width="6.73046875" bestFit="1" customWidth="1"/>
    <col min="597" max="597" width="5.73046875" bestFit="1" customWidth="1"/>
    <col min="598" max="604" width="6.73046875" bestFit="1" customWidth="1"/>
    <col min="605" max="605" width="5.73046875" bestFit="1" customWidth="1"/>
    <col min="606" max="607" width="6.73046875" bestFit="1" customWidth="1"/>
    <col min="608" max="608" width="5.73046875" bestFit="1" customWidth="1"/>
    <col min="609" max="612" width="6.73046875" bestFit="1" customWidth="1"/>
    <col min="613" max="613" width="3.73046875" bestFit="1" customWidth="1"/>
    <col min="614" max="614" width="5.73046875" bestFit="1" customWidth="1"/>
    <col min="615" max="615" width="6.73046875" bestFit="1" customWidth="1"/>
    <col min="616" max="616" width="5.73046875" bestFit="1" customWidth="1"/>
    <col min="617" max="622" width="6.73046875" bestFit="1" customWidth="1"/>
    <col min="623" max="623" width="5.73046875" bestFit="1" customWidth="1"/>
    <col min="624" max="632" width="6.73046875" bestFit="1" customWidth="1"/>
    <col min="633" max="633" width="5.73046875" bestFit="1" customWidth="1"/>
    <col min="634" max="634" width="6.73046875" bestFit="1" customWidth="1"/>
    <col min="635" max="635" width="5.73046875" bestFit="1" customWidth="1"/>
    <col min="636" max="636" width="6.73046875" bestFit="1" customWidth="1"/>
    <col min="637" max="637" width="5.73046875" bestFit="1" customWidth="1"/>
    <col min="638" max="646" width="6.73046875" bestFit="1" customWidth="1"/>
    <col min="647" max="648" width="5.73046875" bestFit="1" customWidth="1"/>
    <col min="649" max="651" width="6.73046875" bestFit="1" customWidth="1"/>
    <col min="652" max="652" width="5.73046875" bestFit="1" customWidth="1"/>
    <col min="653" max="654" width="6.73046875" bestFit="1" customWidth="1"/>
    <col min="655" max="655" width="5.73046875" bestFit="1" customWidth="1"/>
    <col min="656" max="657" width="6.73046875" bestFit="1" customWidth="1"/>
    <col min="658" max="658" width="5.73046875" bestFit="1" customWidth="1"/>
    <col min="659" max="661" width="6.73046875" bestFit="1" customWidth="1"/>
    <col min="662" max="662" width="5.73046875" bestFit="1" customWidth="1"/>
    <col min="663" max="665" width="6.73046875" bestFit="1" customWidth="1"/>
    <col min="666" max="666" width="5.73046875" bestFit="1" customWidth="1"/>
    <col min="667" max="677" width="6.73046875" bestFit="1" customWidth="1"/>
    <col min="678" max="678" width="5.73046875" bestFit="1" customWidth="1"/>
    <col min="679" max="683" width="6.73046875" bestFit="1" customWidth="1"/>
    <col min="684" max="684" width="5.73046875" bestFit="1" customWidth="1"/>
    <col min="685" max="686" width="6.73046875" bestFit="1" customWidth="1"/>
    <col min="687" max="687" width="5.73046875" bestFit="1" customWidth="1"/>
    <col min="688" max="690" width="6.73046875" bestFit="1" customWidth="1"/>
    <col min="691" max="691" width="5.73046875" bestFit="1" customWidth="1"/>
    <col min="692" max="702" width="6.73046875" bestFit="1" customWidth="1"/>
    <col min="703" max="703" width="5.73046875" bestFit="1" customWidth="1"/>
    <col min="704" max="704" width="6.73046875" bestFit="1" customWidth="1"/>
    <col min="705" max="705" width="5.73046875" bestFit="1" customWidth="1"/>
    <col min="706" max="707" width="6.73046875" bestFit="1" customWidth="1"/>
    <col min="708" max="708" width="5.73046875" bestFit="1" customWidth="1"/>
    <col min="709" max="710" width="6.73046875" bestFit="1" customWidth="1"/>
    <col min="711" max="711" width="5.73046875" bestFit="1" customWidth="1"/>
    <col min="712" max="718" width="6.73046875" bestFit="1" customWidth="1"/>
    <col min="719" max="719" width="5.73046875" bestFit="1" customWidth="1"/>
    <col min="720" max="725" width="6.73046875" bestFit="1" customWidth="1"/>
    <col min="726" max="726" width="5.73046875" bestFit="1" customWidth="1"/>
    <col min="727" max="727" width="6.73046875" bestFit="1" customWidth="1"/>
    <col min="728" max="728" width="5.73046875" bestFit="1" customWidth="1"/>
    <col min="729" max="729" width="6.73046875" bestFit="1" customWidth="1"/>
    <col min="730" max="730" width="5.73046875" bestFit="1" customWidth="1"/>
    <col min="731" max="732" width="6.73046875" bestFit="1" customWidth="1"/>
    <col min="733" max="733" width="3.73046875" bestFit="1" customWidth="1"/>
    <col min="734" max="741" width="6.73046875" bestFit="1" customWidth="1"/>
    <col min="742" max="742" width="3.73046875" bestFit="1" customWidth="1"/>
    <col min="743" max="744" width="5.73046875" bestFit="1" customWidth="1"/>
    <col min="745" max="748" width="6.73046875" bestFit="1" customWidth="1"/>
    <col min="749" max="749" width="5.73046875" bestFit="1" customWidth="1"/>
    <col min="750" max="752" width="6.73046875" bestFit="1" customWidth="1"/>
    <col min="753" max="753" width="5.73046875" bestFit="1" customWidth="1"/>
    <col min="754" max="760" width="6.73046875" bestFit="1" customWidth="1"/>
    <col min="761" max="761" width="3.73046875" bestFit="1" customWidth="1"/>
    <col min="762" max="763" width="6.73046875" bestFit="1" customWidth="1"/>
    <col min="764" max="764" width="5.73046875" bestFit="1" customWidth="1"/>
    <col min="765" max="767" width="6.73046875" bestFit="1" customWidth="1"/>
    <col min="768" max="769" width="5.73046875" bestFit="1" customWidth="1"/>
    <col min="770" max="773" width="6.73046875" bestFit="1" customWidth="1"/>
    <col min="774" max="774" width="5.73046875" bestFit="1" customWidth="1"/>
    <col min="775" max="777" width="6.73046875" bestFit="1" customWidth="1"/>
    <col min="778" max="779" width="5.73046875" bestFit="1" customWidth="1"/>
    <col min="780" max="781" width="6.73046875" bestFit="1" customWidth="1"/>
    <col min="782" max="782" width="7.73046875" bestFit="1" customWidth="1"/>
    <col min="783" max="783" width="6.73046875" bestFit="1" customWidth="1"/>
    <col min="784" max="790" width="7.73046875" bestFit="1" customWidth="1"/>
    <col min="791" max="792" width="6.73046875" bestFit="1" customWidth="1"/>
    <col min="793" max="802" width="7.73046875" bestFit="1" customWidth="1"/>
    <col min="803" max="803" width="6.73046875" bestFit="1" customWidth="1"/>
    <col min="804" max="805" width="7.73046875" bestFit="1" customWidth="1"/>
    <col min="806" max="806" width="6.73046875" bestFit="1" customWidth="1"/>
    <col min="807" max="810" width="7.73046875" bestFit="1" customWidth="1"/>
    <col min="811" max="811" width="6.73046875" bestFit="1" customWidth="1"/>
    <col min="812" max="828" width="7.73046875" bestFit="1" customWidth="1"/>
    <col min="829" max="829" width="6.73046875" bestFit="1" customWidth="1"/>
    <col min="830" max="830" width="7.73046875" bestFit="1" customWidth="1"/>
    <col min="831" max="834" width="6.73046875" bestFit="1" customWidth="1"/>
    <col min="835" max="836" width="7.73046875" bestFit="1" customWidth="1"/>
    <col min="837" max="837" width="6.73046875" bestFit="1" customWidth="1"/>
    <col min="838" max="841" width="7.73046875" bestFit="1" customWidth="1"/>
    <col min="842" max="842" width="4.73046875" bestFit="1" customWidth="1"/>
    <col min="843" max="848" width="7.73046875" bestFit="1" customWidth="1"/>
    <col min="849" max="849" width="6.73046875" bestFit="1" customWidth="1"/>
    <col min="850" max="850" width="7.73046875" bestFit="1" customWidth="1"/>
    <col min="851" max="851" width="4.73046875" bestFit="1" customWidth="1"/>
    <col min="852" max="859" width="7.73046875" bestFit="1" customWidth="1"/>
    <col min="860" max="860" width="6.73046875" bestFit="1" customWidth="1"/>
    <col min="861" max="866" width="7.73046875" bestFit="1" customWidth="1"/>
    <col min="867" max="867" width="6.73046875" bestFit="1" customWidth="1"/>
    <col min="868" max="868" width="7.73046875" bestFit="1" customWidth="1"/>
    <col min="869" max="869" width="6.73046875" bestFit="1" customWidth="1"/>
    <col min="870" max="874" width="7.73046875" bestFit="1" customWidth="1"/>
    <col min="875" max="877" width="6.73046875" bestFit="1" customWidth="1"/>
    <col min="878" max="878" width="7.73046875" bestFit="1" customWidth="1"/>
    <col min="879" max="879" width="6.73046875" bestFit="1" customWidth="1"/>
    <col min="880" max="885" width="7.73046875" bestFit="1" customWidth="1"/>
    <col min="886" max="887" width="6.73046875" bestFit="1" customWidth="1"/>
    <col min="888" max="888" width="7.73046875" bestFit="1" customWidth="1"/>
    <col min="889" max="889" width="6.73046875" bestFit="1" customWidth="1"/>
    <col min="890" max="891" width="7.73046875" bestFit="1" customWidth="1"/>
    <col min="892" max="892" width="6.73046875" bestFit="1" customWidth="1"/>
    <col min="893" max="901" width="7.73046875" bestFit="1" customWidth="1"/>
    <col min="902" max="902" width="6.73046875" bestFit="1" customWidth="1"/>
    <col min="903" max="906" width="7.73046875" bestFit="1" customWidth="1"/>
    <col min="907" max="908" width="6.73046875" bestFit="1" customWidth="1"/>
    <col min="909" max="911" width="7.73046875" bestFit="1" customWidth="1"/>
    <col min="912" max="912" width="6.73046875" bestFit="1" customWidth="1"/>
    <col min="913" max="914" width="7.73046875" bestFit="1" customWidth="1"/>
    <col min="915" max="915" width="6.73046875" bestFit="1" customWidth="1"/>
    <col min="916" max="928" width="7.73046875" bestFit="1" customWidth="1"/>
    <col min="929" max="930" width="6.73046875" bestFit="1" customWidth="1"/>
    <col min="931" max="939" width="7.73046875" bestFit="1" customWidth="1"/>
    <col min="940" max="941" width="6.73046875" bestFit="1" customWidth="1"/>
    <col min="942" max="942" width="7.73046875" bestFit="1" customWidth="1"/>
    <col min="943" max="945" width="6.73046875" bestFit="1" customWidth="1"/>
    <col min="946" max="946" width="7.73046875" bestFit="1" customWidth="1"/>
    <col min="947" max="947" width="6.73046875" bestFit="1" customWidth="1"/>
    <col min="948" max="950" width="7.73046875" bestFit="1" customWidth="1"/>
    <col min="951" max="951" width="6.73046875" bestFit="1" customWidth="1"/>
    <col min="952" max="952" width="7.73046875" bestFit="1" customWidth="1"/>
    <col min="953" max="954" width="6.73046875" bestFit="1" customWidth="1"/>
    <col min="955" max="955" width="7.73046875" bestFit="1" customWidth="1"/>
    <col min="956" max="956" width="6.73046875" bestFit="1" customWidth="1"/>
    <col min="957" max="957" width="7.73046875" bestFit="1" customWidth="1"/>
    <col min="958" max="959" width="4.73046875" bestFit="1" customWidth="1"/>
    <col min="960" max="961" width="7.73046875" bestFit="1" customWidth="1"/>
    <col min="962" max="962" width="6.73046875" bestFit="1" customWidth="1"/>
    <col min="963" max="963" width="7.73046875" bestFit="1" customWidth="1"/>
    <col min="964" max="964" width="6.73046875" bestFit="1" customWidth="1"/>
    <col min="965" max="967" width="7.73046875" bestFit="1" customWidth="1"/>
    <col min="968" max="968" width="6.73046875" bestFit="1" customWidth="1"/>
    <col min="969" max="969" width="6.53125" bestFit="1" customWidth="1"/>
    <col min="970" max="978" width="5.73046875" bestFit="1" customWidth="1"/>
    <col min="979" max="979" width="2.73046875" bestFit="1" customWidth="1"/>
    <col min="980" max="983" width="5.73046875" bestFit="1" customWidth="1"/>
    <col min="984" max="993" width="6.73046875" bestFit="1" customWidth="1"/>
    <col min="994" max="995" width="5.73046875" bestFit="1" customWidth="1"/>
    <col min="996" max="1011" width="6.73046875" bestFit="1" customWidth="1"/>
    <col min="1012" max="1012" width="5.73046875" bestFit="1" customWidth="1"/>
    <col min="1013" max="1021" width="6.73046875" bestFit="1" customWidth="1"/>
    <col min="1022" max="1022" width="5.73046875" bestFit="1" customWidth="1"/>
    <col min="1023" max="1032" width="6.73046875" bestFit="1" customWidth="1"/>
    <col min="1033" max="1033" width="5.73046875" bestFit="1" customWidth="1"/>
    <col min="1034" max="1046" width="6.73046875" bestFit="1" customWidth="1"/>
    <col min="1047" max="1047" width="5.73046875" bestFit="1" customWidth="1"/>
    <col min="1048" max="1056" width="6.73046875" bestFit="1" customWidth="1"/>
    <col min="1057" max="1057" width="3.73046875" bestFit="1" customWidth="1"/>
    <col min="1058" max="1058" width="5.73046875" bestFit="1" customWidth="1"/>
    <col min="1059" max="1063" width="6.73046875" bestFit="1" customWidth="1"/>
    <col min="1064" max="1065" width="5.73046875" bestFit="1" customWidth="1"/>
    <col min="1066" max="1074" width="6.73046875" bestFit="1" customWidth="1"/>
    <col min="1075" max="1075" width="5.73046875" bestFit="1" customWidth="1"/>
    <col min="1076" max="1083" width="6.73046875" bestFit="1" customWidth="1"/>
    <col min="1084" max="1084" width="5.73046875" bestFit="1" customWidth="1"/>
    <col min="1085" max="1085" width="6.73046875" bestFit="1" customWidth="1"/>
    <col min="1086" max="1086" width="5.73046875" bestFit="1" customWidth="1"/>
    <col min="1087" max="1090" width="6.73046875" bestFit="1" customWidth="1"/>
    <col min="1091" max="1091" width="5.73046875" bestFit="1" customWidth="1"/>
    <col min="1092" max="1093" width="6.73046875" bestFit="1" customWidth="1"/>
    <col min="1094" max="1094" width="3.73046875" bestFit="1" customWidth="1"/>
    <col min="1095" max="1096" width="6.73046875" bestFit="1" customWidth="1"/>
    <col min="1097" max="1097" width="5.73046875" bestFit="1" customWidth="1"/>
    <col min="1098" max="1100" width="6.73046875" bestFit="1" customWidth="1"/>
    <col min="1101" max="1101" width="5.73046875" bestFit="1" customWidth="1"/>
    <col min="1102" max="1103" width="6.73046875" bestFit="1" customWidth="1"/>
    <col min="1104" max="1105" width="7.73046875" bestFit="1" customWidth="1"/>
    <col min="1106" max="1107" width="6.73046875" bestFit="1" customWidth="1"/>
    <col min="1108" max="1114" width="7.73046875" bestFit="1" customWidth="1"/>
    <col min="1115" max="1115" width="4.73046875" bestFit="1" customWidth="1"/>
    <col min="1116" max="1117" width="7.73046875" bestFit="1" customWidth="1"/>
    <col min="1118" max="1118" width="4.73046875" bestFit="1" customWidth="1"/>
    <col min="1119" max="1119" width="6.73046875" bestFit="1" customWidth="1"/>
    <col min="1120" max="1124" width="7.73046875" bestFit="1" customWidth="1"/>
    <col min="1125" max="1125" width="6.73046875" bestFit="1" customWidth="1"/>
    <col min="1126" max="1128" width="7.73046875" bestFit="1" customWidth="1"/>
    <col min="1129" max="1129" width="6.73046875" bestFit="1" customWidth="1"/>
    <col min="1130" max="1130" width="7.73046875" bestFit="1" customWidth="1"/>
    <col min="1131" max="1131" width="6.73046875" bestFit="1" customWidth="1"/>
    <col min="1132" max="1143" width="7.73046875" bestFit="1" customWidth="1"/>
    <col min="1144" max="1144" width="6.73046875" bestFit="1" customWidth="1"/>
    <col min="1145" max="1146" width="7.73046875" bestFit="1" customWidth="1"/>
    <col min="1147" max="1147" width="6.73046875" bestFit="1" customWidth="1"/>
    <col min="1148" max="1148" width="7.73046875" bestFit="1" customWidth="1"/>
    <col min="1149" max="1149" width="6.73046875" bestFit="1" customWidth="1"/>
    <col min="1150" max="1155" width="7.73046875" bestFit="1" customWidth="1"/>
    <col min="1156" max="1156" width="6.73046875" bestFit="1" customWidth="1"/>
    <col min="1157" max="1162" width="7.73046875" bestFit="1" customWidth="1"/>
    <col min="1163" max="1163" width="6.73046875" bestFit="1" customWidth="1"/>
    <col min="1164" max="1168" width="7.73046875" bestFit="1" customWidth="1"/>
    <col min="1169" max="1170" width="6.73046875" bestFit="1" customWidth="1"/>
    <col min="1171" max="1171" width="7.73046875" bestFit="1" customWidth="1"/>
    <col min="1172" max="1172" width="4.73046875" bestFit="1" customWidth="1"/>
    <col min="1173" max="1175" width="7.73046875" bestFit="1" customWidth="1"/>
    <col min="1176" max="1176" width="6.73046875" bestFit="1" customWidth="1"/>
    <col min="1177" max="1177" width="7.73046875" bestFit="1" customWidth="1"/>
    <col min="1178" max="1178" width="6.73046875" bestFit="1" customWidth="1"/>
    <col min="1179" max="1179" width="7.73046875" bestFit="1" customWidth="1"/>
    <col min="1180" max="1180" width="6.73046875" bestFit="1" customWidth="1"/>
    <col min="1181" max="1184" width="7.73046875" bestFit="1" customWidth="1"/>
    <col min="1185" max="1185" width="6.73046875" bestFit="1" customWidth="1"/>
    <col min="1186" max="1187" width="7.73046875" bestFit="1" customWidth="1"/>
    <col min="1188" max="1188" width="6.73046875" bestFit="1" customWidth="1"/>
    <col min="1189" max="1195" width="7.73046875" bestFit="1" customWidth="1"/>
    <col min="1196" max="1198" width="6.73046875" bestFit="1" customWidth="1"/>
    <col min="1199" max="1199" width="7.73046875" bestFit="1" customWidth="1"/>
    <col min="1200" max="1200" width="10.19921875" bestFit="1" customWidth="1"/>
  </cols>
  <sheetData>
    <row r="1" spans="1:17" x14ac:dyDescent="0.45">
      <c r="G1" s="15" t="s">
        <v>11</v>
      </c>
      <c r="H1" t="s" vm="2">
        <v>4321</v>
      </c>
      <c r="I1" s="15" t="s">
        <v>11</v>
      </c>
      <c r="J1" t="s" vm="1">
        <v>4283</v>
      </c>
    </row>
    <row r="3" spans="1:17" x14ac:dyDescent="0.45">
      <c r="A3" t="s">
        <v>4319</v>
      </c>
      <c r="C3" t="s">
        <v>4320</v>
      </c>
      <c r="E3" t="s">
        <v>4373</v>
      </c>
      <c r="G3" t="s">
        <v>4322</v>
      </c>
      <c r="I3" t="s">
        <v>4323</v>
      </c>
      <c r="K3" t="s">
        <v>4375</v>
      </c>
    </row>
    <row r="4" spans="1:17" x14ac:dyDescent="0.45">
      <c r="A4">
        <v>1200</v>
      </c>
      <c r="C4">
        <v>3535</v>
      </c>
      <c r="E4" s="51">
        <v>1264761.96</v>
      </c>
      <c r="G4">
        <v>891</v>
      </c>
      <c r="I4">
        <v>309</v>
      </c>
      <c r="K4" s="51">
        <v>1053.9683</v>
      </c>
    </row>
    <row r="6" spans="1:17" x14ac:dyDescent="0.45">
      <c r="A6" s="15" t="s">
        <v>4374</v>
      </c>
      <c r="B6" s="15" t="s">
        <v>4334</v>
      </c>
      <c r="H6" s="15" t="s">
        <v>4351</v>
      </c>
      <c r="I6" t="s">
        <v>4367</v>
      </c>
    </row>
    <row r="7" spans="1:17" x14ac:dyDescent="0.45">
      <c r="A7" s="15" t="s">
        <v>4352</v>
      </c>
      <c r="B7" t="s">
        <v>4336</v>
      </c>
      <c r="C7" t="s">
        <v>4337</v>
      </c>
      <c r="D7" t="s">
        <v>4338</v>
      </c>
      <c r="E7" t="s">
        <v>4335</v>
      </c>
      <c r="H7" s="33" t="s">
        <v>4336</v>
      </c>
      <c r="I7" s="34">
        <v>0.53505123169738611</v>
      </c>
      <c r="Q7" t="s">
        <v>4357</v>
      </c>
    </row>
    <row r="8" spans="1:17" x14ac:dyDescent="0.45">
      <c r="A8" s="33" t="s">
        <v>4339</v>
      </c>
      <c r="B8">
        <v>56685.75</v>
      </c>
      <c r="C8">
        <v>38528.080000000002</v>
      </c>
      <c r="D8">
        <v>29099.4</v>
      </c>
      <c r="E8">
        <v>124313.23</v>
      </c>
      <c r="H8" s="33" t="s">
        <v>4337</v>
      </c>
      <c r="I8" s="34">
        <v>0.46494876830261384</v>
      </c>
    </row>
    <row r="9" spans="1:17" x14ac:dyDescent="0.45">
      <c r="A9" s="33" t="s">
        <v>4340</v>
      </c>
      <c r="B9">
        <v>40117.660000000003</v>
      </c>
      <c r="C9">
        <v>36909.57</v>
      </c>
      <c r="D9">
        <v>35317.550000000003</v>
      </c>
      <c r="E9">
        <v>112344.78</v>
      </c>
      <c r="H9" s="33" t="s">
        <v>4335</v>
      </c>
      <c r="I9" s="34">
        <v>1</v>
      </c>
    </row>
    <row r="10" spans="1:17" x14ac:dyDescent="0.45">
      <c r="A10" s="33" t="s">
        <v>4341</v>
      </c>
      <c r="B10">
        <v>48609.37</v>
      </c>
      <c r="C10">
        <v>36030.9</v>
      </c>
      <c r="D10">
        <v>39200.660000000003</v>
      </c>
      <c r="E10">
        <v>123840.93</v>
      </c>
    </row>
    <row r="11" spans="1:17" x14ac:dyDescent="0.45">
      <c r="A11" s="33" t="s">
        <v>4342</v>
      </c>
      <c r="B11">
        <v>27751.71</v>
      </c>
      <c r="C11">
        <v>49613.14</v>
      </c>
      <c r="D11">
        <v>31821.200000000001</v>
      </c>
      <c r="E11">
        <v>109186.05</v>
      </c>
      <c r="H11" s="15" t="s">
        <v>4356</v>
      </c>
      <c r="I11" t="s">
        <v>4353</v>
      </c>
      <c r="J11" t="s">
        <v>4362</v>
      </c>
    </row>
    <row r="12" spans="1:17" x14ac:dyDescent="0.45">
      <c r="A12" s="33" t="s">
        <v>4343</v>
      </c>
      <c r="B12">
        <v>63836.84</v>
      </c>
      <c r="C12">
        <v>27909.11</v>
      </c>
      <c r="D12">
        <v>43396.639999999999</v>
      </c>
      <c r="E12">
        <v>135142.59</v>
      </c>
      <c r="H12" s="33" t="s">
        <v>3071</v>
      </c>
      <c r="I12">
        <v>250</v>
      </c>
      <c r="J12" s="34">
        <v>0.20833333333333334</v>
      </c>
    </row>
    <row r="13" spans="1:17" x14ac:dyDescent="0.45">
      <c r="A13" s="33" t="s">
        <v>4344</v>
      </c>
      <c r="B13">
        <v>49500.19</v>
      </c>
      <c r="C13">
        <v>68068.539999999994</v>
      </c>
      <c r="D13">
        <v>53047.4</v>
      </c>
      <c r="E13">
        <v>170616.13</v>
      </c>
      <c r="H13" s="33" t="s">
        <v>3073</v>
      </c>
      <c r="I13">
        <v>231</v>
      </c>
      <c r="J13" s="34">
        <v>0.1925</v>
      </c>
    </row>
    <row r="14" spans="1:17" x14ac:dyDescent="0.45">
      <c r="A14" s="33" t="s">
        <v>4345</v>
      </c>
      <c r="B14">
        <v>42820.66</v>
      </c>
      <c r="C14">
        <v>42963.98</v>
      </c>
      <c r="E14">
        <v>85784.639999999999</v>
      </c>
      <c r="H14" s="33" t="s">
        <v>3074</v>
      </c>
      <c r="I14">
        <v>237</v>
      </c>
      <c r="J14" s="34">
        <v>0.19750000000000001</v>
      </c>
    </row>
    <row r="15" spans="1:17" x14ac:dyDescent="0.45">
      <c r="A15" s="33" t="s">
        <v>4346</v>
      </c>
      <c r="B15">
        <v>54352.14</v>
      </c>
      <c r="C15">
        <v>31991.07</v>
      </c>
      <c r="E15">
        <v>86343.21</v>
      </c>
      <c r="H15" s="33" t="s">
        <v>3072</v>
      </c>
      <c r="I15">
        <v>247</v>
      </c>
      <c r="J15" s="34">
        <v>0.20583333333333334</v>
      </c>
    </row>
    <row r="16" spans="1:17" x14ac:dyDescent="0.45">
      <c r="A16" s="33" t="s">
        <v>4347</v>
      </c>
      <c r="B16">
        <v>29526.67</v>
      </c>
      <c r="C16">
        <v>39794.980000000003</v>
      </c>
      <c r="E16">
        <v>69321.649999999994</v>
      </c>
      <c r="H16" s="33" t="s">
        <v>3070</v>
      </c>
      <c r="I16">
        <v>235</v>
      </c>
      <c r="J16" s="34">
        <v>0.19583333333333333</v>
      </c>
    </row>
    <row r="17" spans="1:20" x14ac:dyDescent="0.45">
      <c r="A17" s="33" t="s">
        <v>4348</v>
      </c>
      <c r="B17">
        <v>52607.85</v>
      </c>
      <c r="C17">
        <v>37226.97</v>
      </c>
      <c r="E17">
        <v>89834.82</v>
      </c>
      <c r="H17" s="33" t="s">
        <v>4335</v>
      </c>
      <c r="I17">
        <v>1200</v>
      </c>
      <c r="J17" s="34">
        <v>1</v>
      </c>
    </row>
    <row r="18" spans="1:20" x14ac:dyDescent="0.45">
      <c r="A18" s="33" t="s">
        <v>4349</v>
      </c>
      <c r="B18">
        <v>43079.67</v>
      </c>
      <c r="C18">
        <v>32413.759999999998</v>
      </c>
      <c r="E18">
        <v>75493.429999999993</v>
      </c>
      <c r="T18" t="s">
        <v>4327</v>
      </c>
    </row>
    <row r="19" spans="1:20" x14ac:dyDescent="0.45">
      <c r="A19" s="33" t="s">
        <v>4350</v>
      </c>
      <c r="B19">
        <v>43754.73</v>
      </c>
      <c r="C19">
        <v>38785.769999999997</v>
      </c>
      <c r="E19">
        <v>82540.5</v>
      </c>
      <c r="H19" s="36" t="s">
        <v>4356</v>
      </c>
      <c r="I19" s="36" t="s">
        <v>4373</v>
      </c>
      <c r="J19" s="36" t="s">
        <v>4354</v>
      </c>
    </row>
    <row r="20" spans="1:20" x14ac:dyDescent="0.45">
      <c r="A20" s="33" t="s">
        <v>4335</v>
      </c>
      <c r="B20">
        <v>552643.24</v>
      </c>
      <c r="C20">
        <v>480235.87</v>
      </c>
      <c r="D20">
        <v>231882.85</v>
      </c>
      <c r="E20">
        <v>1264761.96</v>
      </c>
      <c r="H20" s="37" t="s">
        <v>3071</v>
      </c>
      <c r="I20" s="52">
        <v>276396.21000000002</v>
      </c>
      <c r="J20" s="38">
        <v>0.21853615047055971</v>
      </c>
    </row>
    <row r="21" spans="1:20" x14ac:dyDescent="0.45">
      <c r="H21" s="37" t="s">
        <v>3073</v>
      </c>
      <c r="I21" s="52">
        <v>242600.32000000001</v>
      </c>
      <c r="J21" s="38">
        <v>0.19181500367073026</v>
      </c>
    </row>
    <row r="22" spans="1:20" x14ac:dyDescent="0.45">
      <c r="A22" s="15" t="s">
        <v>4355</v>
      </c>
      <c r="B22" t="s">
        <v>4372</v>
      </c>
      <c r="H22" s="37" t="s">
        <v>3074</v>
      </c>
      <c r="I22" s="52">
        <v>256328.15</v>
      </c>
      <c r="J22" s="38">
        <v>0.20266908565150077</v>
      </c>
    </row>
    <row r="23" spans="1:20" x14ac:dyDescent="0.45">
      <c r="A23" s="33" t="s">
        <v>2406</v>
      </c>
      <c r="B23" s="34">
        <v>0.15466950792859077</v>
      </c>
      <c r="H23" s="37" t="s">
        <v>3072</v>
      </c>
      <c r="I23" s="52">
        <v>243277.7</v>
      </c>
      <c r="J23" s="38">
        <v>0.19235058271360408</v>
      </c>
    </row>
    <row r="24" spans="1:20" x14ac:dyDescent="0.45">
      <c r="A24" s="33" t="s">
        <v>2409</v>
      </c>
      <c r="B24" s="34">
        <v>0.13240430634077577</v>
      </c>
      <c r="H24" s="37" t="s">
        <v>3070</v>
      </c>
      <c r="I24" s="52">
        <v>246159.58</v>
      </c>
      <c r="J24" s="38">
        <v>0.1946291774936052</v>
      </c>
    </row>
    <row r="25" spans="1:20" x14ac:dyDescent="0.45">
      <c r="A25" s="33" t="s">
        <v>2408</v>
      </c>
      <c r="B25" s="34">
        <v>0.15190728854621782</v>
      </c>
      <c r="H25" s="37" t="s">
        <v>4335</v>
      </c>
      <c r="I25" s="52">
        <v>1264761.96</v>
      </c>
      <c r="J25" s="38">
        <v>1</v>
      </c>
    </row>
    <row r="26" spans="1:20" x14ac:dyDescent="0.45">
      <c r="A26" s="33" t="s">
        <v>2403</v>
      </c>
      <c r="B26" s="34">
        <v>0.13888100334706463</v>
      </c>
    </row>
    <row r="27" spans="1:20" x14ac:dyDescent="0.45">
      <c r="A27" s="33" t="s">
        <v>2404</v>
      </c>
      <c r="B27" s="34">
        <v>0.11996122179386232</v>
      </c>
      <c r="H27" s="15" t="s">
        <v>4360</v>
      </c>
      <c r="I27" t="s">
        <v>4353</v>
      </c>
      <c r="J27" t="s">
        <v>4358</v>
      </c>
    </row>
    <row r="28" spans="1:20" x14ac:dyDescent="0.45">
      <c r="A28" s="33" t="s">
        <v>2407</v>
      </c>
      <c r="B28" s="34">
        <v>0.15466357795897023</v>
      </c>
      <c r="H28" s="33" t="s">
        <v>4280</v>
      </c>
      <c r="I28">
        <v>250</v>
      </c>
      <c r="J28" s="34">
        <v>0.20833333333333334</v>
      </c>
      <c r="R28" t="s">
        <v>4327</v>
      </c>
    </row>
    <row r="29" spans="1:20" x14ac:dyDescent="0.45">
      <c r="A29" s="33" t="s">
        <v>2405</v>
      </c>
      <c r="B29" s="34">
        <v>0.14751309408451849</v>
      </c>
      <c r="H29" s="33" t="s">
        <v>4281</v>
      </c>
      <c r="I29">
        <v>228</v>
      </c>
      <c r="J29" s="34">
        <v>0.19</v>
      </c>
    </row>
    <row r="30" spans="1:20" x14ac:dyDescent="0.45">
      <c r="A30" s="33" t="s">
        <v>4335</v>
      </c>
      <c r="B30" s="34">
        <v>1</v>
      </c>
      <c r="H30" s="33" t="s">
        <v>4282</v>
      </c>
      <c r="I30">
        <v>241</v>
      </c>
      <c r="J30" s="34">
        <v>0.20083333333333334</v>
      </c>
    </row>
    <row r="31" spans="1:20" x14ac:dyDescent="0.45">
      <c r="H31" s="33" t="s">
        <v>4278</v>
      </c>
      <c r="I31">
        <v>259</v>
      </c>
      <c r="J31" s="34">
        <v>0.21583333333333332</v>
      </c>
    </row>
    <row r="32" spans="1:20" x14ac:dyDescent="0.45">
      <c r="A32" s="15" t="s">
        <v>4364</v>
      </c>
      <c r="B32" t="s">
        <v>4365</v>
      </c>
      <c r="H32" s="33" t="s">
        <v>4279</v>
      </c>
      <c r="I32">
        <v>222</v>
      </c>
      <c r="J32" s="34">
        <v>0.185</v>
      </c>
    </row>
    <row r="33" spans="1:10" x14ac:dyDescent="0.45">
      <c r="A33" s="33" t="s">
        <v>4276</v>
      </c>
      <c r="B33" s="34">
        <v>0.26083333333333331</v>
      </c>
      <c r="H33" s="33" t="s">
        <v>4335</v>
      </c>
      <c r="I33">
        <v>1200</v>
      </c>
      <c r="J33" s="34">
        <v>1</v>
      </c>
    </row>
    <row r="34" spans="1:10" x14ac:dyDescent="0.45">
      <c r="A34" s="33" t="s">
        <v>4283</v>
      </c>
      <c r="B34" s="34">
        <v>0.25750000000000001</v>
      </c>
    </row>
    <row r="35" spans="1:10" x14ac:dyDescent="0.45">
      <c r="A35" s="33" t="s">
        <v>4275</v>
      </c>
      <c r="B35" s="34">
        <v>0.23833333333333334</v>
      </c>
      <c r="H35" s="15" t="s">
        <v>4363</v>
      </c>
      <c r="I35" t="s">
        <v>4353</v>
      </c>
      <c r="J35" t="s">
        <v>4366</v>
      </c>
    </row>
    <row r="36" spans="1:10" x14ac:dyDescent="0.45">
      <c r="A36" s="33" t="s">
        <v>4277</v>
      </c>
      <c r="B36" s="34">
        <v>0.24333333333333335</v>
      </c>
      <c r="H36" s="33" t="s">
        <v>3069</v>
      </c>
      <c r="I36">
        <v>246</v>
      </c>
      <c r="J36" s="34">
        <v>0.20499999999999999</v>
      </c>
    </row>
    <row r="37" spans="1:10" x14ac:dyDescent="0.45">
      <c r="A37" s="33" t="s">
        <v>4335</v>
      </c>
      <c r="B37" s="34">
        <v>1</v>
      </c>
      <c r="H37" s="33" t="s">
        <v>3067</v>
      </c>
      <c r="I37">
        <v>234</v>
      </c>
      <c r="J37" s="34">
        <v>0.19500000000000001</v>
      </c>
    </row>
    <row r="38" spans="1:10" x14ac:dyDescent="0.45">
      <c r="H38" s="33" t="s">
        <v>3065</v>
      </c>
      <c r="I38">
        <v>232</v>
      </c>
      <c r="J38" s="34">
        <v>0.19333333333333333</v>
      </c>
    </row>
    <row r="39" spans="1:10" x14ac:dyDescent="0.45">
      <c r="A39" s="15" t="s">
        <v>4360</v>
      </c>
      <c r="B39" t="s">
        <v>4361</v>
      </c>
      <c r="H39" s="33" t="s">
        <v>3068</v>
      </c>
      <c r="I39">
        <v>230</v>
      </c>
      <c r="J39" s="34">
        <v>0.19166666666666668</v>
      </c>
    </row>
    <row r="40" spans="1:10" x14ac:dyDescent="0.45">
      <c r="A40" s="33" t="s">
        <v>4280</v>
      </c>
      <c r="B40" s="34">
        <v>0.20700223305261331</v>
      </c>
      <c r="H40" s="33" t="s">
        <v>3066</v>
      </c>
      <c r="I40">
        <v>258</v>
      </c>
      <c r="J40" s="34">
        <v>0.215</v>
      </c>
    </row>
    <row r="41" spans="1:10" x14ac:dyDescent="0.45">
      <c r="A41" s="33" t="s">
        <v>4281</v>
      </c>
      <c r="B41" s="34">
        <v>0.19799053728655786</v>
      </c>
      <c r="H41" s="33" t="s">
        <v>4335</v>
      </c>
      <c r="I41">
        <v>1200</v>
      </c>
      <c r="J41" s="34">
        <v>1</v>
      </c>
    </row>
    <row r="42" spans="1:10" x14ac:dyDescent="0.45">
      <c r="A42" s="33" t="s">
        <v>4282</v>
      </c>
      <c r="B42" s="34">
        <v>0.19801471574935731</v>
      </c>
    </row>
    <row r="43" spans="1:10" x14ac:dyDescent="0.45">
      <c r="A43" s="33" t="s">
        <v>4278</v>
      </c>
      <c r="B43" s="34">
        <v>0.21765791406313328</v>
      </c>
    </row>
    <row r="44" spans="1:10" x14ac:dyDescent="0.45">
      <c r="A44" s="33" t="s">
        <v>4279</v>
      </c>
      <c r="B44" s="34">
        <v>0.17933459984833824</v>
      </c>
    </row>
    <row r="45" spans="1:10" x14ac:dyDescent="0.45">
      <c r="A45" s="33" t="s">
        <v>4335</v>
      </c>
      <c r="B45" s="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2962-258F-4F2E-9715-2B0902C69B61}">
  <dimension ref="A1:L22"/>
  <sheetViews>
    <sheetView zoomScale="80" zoomScaleNormal="80" workbookViewId="0">
      <selection activeCell="J2" sqref="J2"/>
    </sheetView>
  </sheetViews>
  <sheetFormatPr defaultRowHeight="14.25" x14ac:dyDescent="0.45"/>
  <cols>
    <col min="1" max="1" width="15.86328125" bestFit="1" customWidth="1"/>
    <col min="2" max="2" width="4.796875" bestFit="1" customWidth="1"/>
    <col min="4" max="4" width="15.86328125" bestFit="1" customWidth="1"/>
    <col min="5" max="5" width="4.796875" bestFit="1" customWidth="1"/>
    <col min="7" max="7" width="15.86328125" bestFit="1" customWidth="1"/>
    <col min="8" max="8" width="10.73046875" bestFit="1" customWidth="1"/>
    <col min="10" max="10" width="19.796875" customWidth="1"/>
  </cols>
  <sheetData>
    <row r="1" spans="1:12" s="6" customFormat="1" x14ac:dyDescent="0.45">
      <c r="A1" s="39" t="s">
        <v>4313</v>
      </c>
      <c r="B1" s="40"/>
      <c r="C1" s="40"/>
      <c r="D1" s="40"/>
      <c r="E1" s="40"/>
      <c r="F1" s="40"/>
      <c r="G1" s="40"/>
      <c r="H1" s="41"/>
      <c r="J1" s="30" t="s">
        <v>4371</v>
      </c>
      <c r="K1" s="19"/>
      <c r="L1" s="19"/>
    </row>
    <row r="2" spans="1:12" x14ac:dyDescent="0.45">
      <c r="A2" s="42" t="s">
        <v>4</v>
      </c>
      <c r="B2" s="43"/>
      <c r="C2" s="21"/>
      <c r="D2" s="43" t="s">
        <v>4311</v>
      </c>
      <c r="E2" s="43"/>
      <c r="F2" s="21"/>
      <c r="G2" s="43" t="s">
        <v>4312</v>
      </c>
      <c r="H2" s="44"/>
      <c r="J2" s="31">
        <v>3334</v>
      </c>
    </row>
    <row r="3" spans="1:12" x14ac:dyDescent="0.45">
      <c r="A3" s="22"/>
      <c r="B3" s="23"/>
      <c r="C3" s="23"/>
      <c r="D3" s="23"/>
      <c r="E3" s="23"/>
      <c r="F3" s="23"/>
      <c r="G3" s="23"/>
      <c r="H3" s="24"/>
      <c r="J3" s="31">
        <v>3352.4</v>
      </c>
    </row>
    <row r="4" spans="1:12" x14ac:dyDescent="0.45">
      <c r="A4" s="22" t="s">
        <v>4298</v>
      </c>
      <c r="B4" s="25">
        <v>2.9458333333333333</v>
      </c>
      <c r="C4" s="23"/>
      <c r="D4" s="23" t="s">
        <v>4298</v>
      </c>
      <c r="E4" s="25">
        <v>5.4850000000000003</v>
      </c>
      <c r="F4" s="23"/>
      <c r="G4" s="23" t="s">
        <v>4298</v>
      </c>
      <c r="H4" s="26">
        <v>1053.9683000000005</v>
      </c>
      <c r="J4" s="31">
        <v>3353.75</v>
      </c>
    </row>
    <row r="5" spans="1:12" x14ac:dyDescent="0.45">
      <c r="A5" s="22" t="s">
        <v>4299</v>
      </c>
      <c r="B5" s="25">
        <v>4.0632673494548861E-2</v>
      </c>
      <c r="C5" s="23"/>
      <c r="D5" s="23" t="s">
        <v>4299</v>
      </c>
      <c r="E5" s="25">
        <v>6.5875184207381227E-2</v>
      </c>
      <c r="F5" s="23"/>
      <c r="G5" s="23" t="s">
        <v>4299</v>
      </c>
      <c r="H5" s="26">
        <v>23.667220233435412</v>
      </c>
      <c r="J5" s="31">
        <v>3370.2</v>
      </c>
    </row>
    <row r="6" spans="1:12" x14ac:dyDescent="0.45">
      <c r="A6" s="22" t="s">
        <v>4300</v>
      </c>
      <c r="B6" s="23">
        <v>3</v>
      </c>
      <c r="C6" s="23"/>
      <c r="D6" s="23" t="s">
        <v>4300</v>
      </c>
      <c r="E6" s="23">
        <v>5</v>
      </c>
      <c r="F6" s="23"/>
      <c r="G6" s="23" t="s">
        <v>4300</v>
      </c>
      <c r="H6" s="26">
        <v>823.61500000000001</v>
      </c>
      <c r="J6" s="31">
        <v>3384.9</v>
      </c>
    </row>
    <row r="7" spans="1:12" x14ac:dyDescent="0.45">
      <c r="A7" s="22" t="s">
        <v>4301</v>
      </c>
      <c r="B7" s="23">
        <v>1</v>
      </c>
      <c r="C7" s="23"/>
      <c r="D7" s="23" t="s">
        <v>4301</v>
      </c>
      <c r="E7" s="23">
        <v>5</v>
      </c>
      <c r="F7" s="23"/>
      <c r="G7" s="23" t="s">
        <v>4301</v>
      </c>
      <c r="H7" s="24">
        <v>635.90000000000009</v>
      </c>
      <c r="J7" s="31">
        <v>3390.8</v>
      </c>
    </row>
    <row r="8" spans="1:12" x14ac:dyDescent="0.45">
      <c r="A8" s="22" t="s">
        <v>4302</v>
      </c>
      <c r="B8" s="25">
        <v>1.4075570987983175</v>
      </c>
      <c r="C8" s="23"/>
      <c r="D8" s="23" t="s">
        <v>4302</v>
      </c>
      <c r="E8" s="25">
        <v>2.2819833201028645</v>
      </c>
      <c r="F8" s="23"/>
      <c r="G8" s="23" t="s">
        <v>4302</v>
      </c>
      <c r="H8" s="26">
        <v>819.85655836464559</v>
      </c>
      <c r="J8" s="31">
        <v>3390.95</v>
      </c>
    </row>
    <row r="9" spans="1:12" ht="14.65" thickBot="1" x14ac:dyDescent="0.5">
      <c r="A9" s="22" t="s">
        <v>4303</v>
      </c>
      <c r="B9" s="25">
        <v>1.9812169863775364</v>
      </c>
      <c r="C9" s="23"/>
      <c r="D9" s="23" t="s">
        <v>4303</v>
      </c>
      <c r="E9" s="25">
        <v>5.2074478732276921</v>
      </c>
      <c r="F9" s="23"/>
      <c r="G9" s="23" t="s">
        <v>4303</v>
      </c>
      <c r="H9" s="26">
        <v>672164.77629352151</v>
      </c>
      <c r="J9" s="32">
        <v>3456.4</v>
      </c>
    </row>
    <row r="10" spans="1:12" x14ac:dyDescent="0.45">
      <c r="A10" s="22" t="s">
        <v>4304</v>
      </c>
      <c r="B10" s="25">
        <v>-1.2945958869673317</v>
      </c>
      <c r="C10" s="23"/>
      <c r="D10" s="23" t="s">
        <v>4304</v>
      </c>
      <c r="E10" s="25">
        <v>-0.70855206479322774</v>
      </c>
      <c r="F10" s="23"/>
      <c r="G10" s="23" t="s">
        <v>4304</v>
      </c>
      <c r="H10" s="26">
        <v>-4.0414717406669798E-2</v>
      </c>
    </row>
    <row r="11" spans="1:12" x14ac:dyDescent="0.45">
      <c r="A11" s="22" t="s">
        <v>4305</v>
      </c>
      <c r="B11" s="25">
        <v>2.792231401661471E-2</v>
      </c>
      <c r="C11" s="23"/>
      <c r="D11" s="23" t="s">
        <v>4305</v>
      </c>
      <c r="E11" s="25">
        <v>8.767998521410675E-4</v>
      </c>
      <c r="F11" s="23"/>
      <c r="G11" s="23" t="s">
        <v>4305</v>
      </c>
      <c r="H11" s="26">
        <v>0.89135908268090325</v>
      </c>
    </row>
    <row r="12" spans="1:12" x14ac:dyDescent="0.45">
      <c r="A12" s="22" t="s">
        <v>4306</v>
      </c>
      <c r="B12" s="23">
        <v>4</v>
      </c>
      <c r="C12" s="23"/>
      <c r="D12" s="23" t="s">
        <v>4306</v>
      </c>
      <c r="E12" s="23">
        <v>9</v>
      </c>
      <c r="F12" s="23"/>
      <c r="G12" s="23" t="s">
        <v>4306</v>
      </c>
      <c r="H12" s="26">
        <v>3445.01</v>
      </c>
    </row>
    <row r="13" spans="1:12" x14ac:dyDescent="0.45">
      <c r="A13" s="22" t="s">
        <v>4307</v>
      </c>
      <c r="B13" s="23">
        <v>1</v>
      </c>
      <c r="C13" s="23"/>
      <c r="D13" s="23" t="s">
        <v>4307</v>
      </c>
      <c r="E13" s="23">
        <v>1</v>
      </c>
      <c r="F13" s="23"/>
      <c r="G13" s="23" t="s">
        <v>4307</v>
      </c>
      <c r="H13" s="24">
        <v>11.39</v>
      </c>
    </row>
    <row r="14" spans="1:12" x14ac:dyDescent="0.45">
      <c r="A14" s="22" t="s">
        <v>4308</v>
      </c>
      <c r="B14" s="23">
        <v>5</v>
      </c>
      <c r="C14" s="23"/>
      <c r="D14" s="23" t="s">
        <v>4308</v>
      </c>
      <c r="E14" s="23">
        <v>10</v>
      </c>
      <c r="F14" s="23"/>
      <c r="G14" s="23" t="s">
        <v>4308</v>
      </c>
      <c r="H14" s="24">
        <v>3456.4</v>
      </c>
    </row>
    <row r="15" spans="1:12" x14ac:dyDescent="0.45">
      <c r="A15" s="22" t="s">
        <v>4324</v>
      </c>
      <c r="B15" s="23">
        <f>_xlfn.QUARTILE.EXC(Table1_1[Quantity],1)</f>
        <v>2</v>
      </c>
      <c r="C15" s="23"/>
      <c r="D15" s="23" t="s">
        <v>4324</v>
      </c>
      <c r="E15" s="23">
        <f>_xlfn.QUARTILE.EXC(Table1_1[ItemsInCart],1)</f>
        <v>4</v>
      </c>
      <c r="F15" s="23"/>
      <c r="G15" s="23" t="s">
        <v>4324</v>
      </c>
      <c r="H15" s="24">
        <f>_xlfn.QUARTILE.EXC(Table1_1[TotalPrice],1)</f>
        <v>410.52</v>
      </c>
    </row>
    <row r="16" spans="1:12" x14ac:dyDescent="0.45">
      <c r="A16" s="22" t="s">
        <v>4325</v>
      </c>
      <c r="B16" s="23">
        <f>_xlfn.QUARTILE.EXC(Table1_1[Quantity],2)</f>
        <v>3</v>
      </c>
      <c r="C16" s="23"/>
      <c r="D16" s="23" t="s">
        <v>4325</v>
      </c>
      <c r="E16" s="23">
        <f>_xlfn.QUARTILE.EXC(Table1_1[ItemsInCart],2)</f>
        <v>5</v>
      </c>
      <c r="F16" s="23"/>
      <c r="G16" s="23" t="s">
        <v>4325</v>
      </c>
      <c r="H16" s="26">
        <f>_xlfn.QUARTILE.EXC(Table1_1[TotalPrice],2)</f>
        <v>823.61500000000001</v>
      </c>
    </row>
    <row r="17" spans="1:8" x14ac:dyDescent="0.45">
      <c r="A17" s="22" t="s">
        <v>4326</v>
      </c>
      <c r="B17" s="23">
        <f>_xlfn.QUARTILE.EXC(Table1_1[Quantity],3)</f>
        <v>4</v>
      </c>
      <c r="C17" s="23"/>
      <c r="D17" s="23" t="s">
        <v>4326</v>
      </c>
      <c r="E17" s="23">
        <f>_xlfn.QUARTILE.EXC(Table1_1[ItemsInCart],3)</f>
        <v>7</v>
      </c>
      <c r="F17" s="23"/>
      <c r="G17" s="23" t="s">
        <v>4326</v>
      </c>
      <c r="H17" s="26">
        <f>_xlfn.QUARTILE.EXC(Table1_1[TotalPrice],3)</f>
        <v>1579.7249999999999</v>
      </c>
    </row>
    <row r="18" spans="1:8" x14ac:dyDescent="0.45">
      <c r="A18" s="22" t="s">
        <v>4331</v>
      </c>
      <c r="B18" s="23">
        <f>B17-B15</f>
        <v>2</v>
      </c>
      <c r="C18" s="23"/>
      <c r="D18" s="23" t="s">
        <v>4331</v>
      </c>
      <c r="E18" s="23">
        <f>E17-E15</f>
        <v>3</v>
      </c>
      <c r="F18" s="23"/>
      <c r="G18" s="23" t="s">
        <v>4331</v>
      </c>
      <c r="H18" s="26">
        <f>H17-H15</f>
        <v>1169.2049999999999</v>
      </c>
    </row>
    <row r="19" spans="1:8" x14ac:dyDescent="0.45">
      <c r="A19" s="22" t="s">
        <v>4329</v>
      </c>
      <c r="B19" s="23">
        <f>B17+(B18*1.5)</f>
        <v>7</v>
      </c>
      <c r="C19" s="23"/>
      <c r="D19" s="23" t="s">
        <v>4329</v>
      </c>
      <c r="E19" s="23">
        <f>E17+(E18*1.5)</f>
        <v>11.5</v>
      </c>
      <c r="F19" s="23"/>
      <c r="G19" s="23" t="s">
        <v>4329</v>
      </c>
      <c r="H19" s="26">
        <f>H17+(H18*1.5)</f>
        <v>3333.5324999999998</v>
      </c>
    </row>
    <row r="20" spans="1:8" x14ac:dyDescent="0.45">
      <c r="A20" s="22" t="s">
        <v>4330</v>
      </c>
      <c r="B20" s="23">
        <f>B15-(B18*1.5)</f>
        <v>-1</v>
      </c>
      <c r="C20" s="23"/>
      <c r="D20" s="23" t="s">
        <v>4330</v>
      </c>
      <c r="E20" s="23">
        <f>E15-(E18*1.5)</f>
        <v>-0.5</v>
      </c>
      <c r="F20" s="23"/>
      <c r="G20" s="23" t="s">
        <v>4330</v>
      </c>
      <c r="H20" s="26">
        <f>H15-(H18*1.5)</f>
        <v>-1343.2874999999999</v>
      </c>
    </row>
    <row r="21" spans="1:8" x14ac:dyDescent="0.45">
      <c r="A21" s="22" t="s">
        <v>4309</v>
      </c>
      <c r="B21" s="23">
        <v>3535</v>
      </c>
      <c r="C21" s="23"/>
      <c r="D21" s="23" t="s">
        <v>4309</v>
      </c>
      <c r="E21" s="23">
        <v>6582</v>
      </c>
      <c r="F21" s="23"/>
      <c r="G21" s="23" t="s">
        <v>4309</v>
      </c>
      <c r="H21" s="24">
        <v>1264761.9600000004</v>
      </c>
    </row>
    <row r="22" spans="1:8" ht="14.65" thickBot="1" x14ac:dyDescent="0.5">
      <c r="A22" s="27" t="s">
        <v>4310</v>
      </c>
      <c r="B22" s="28">
        <v>1200</v>
      </c>
      <c r="C22" s="28"/>
      <c r="D22" s="28" t="s">
        <v>4310</v>
      </c>
      <c r="E22" s="28">
        <v>1200</v>
      </c>
      <c r="F22" s="28"/>
      <c r="G22" s="28" t="s">
        <v>4310</v>
      </c>
      <c r="H22" s="29">
        <v>1200</v>
      </c>
    </row>
  </sheetData>
  <mergeCells count="4">
    <mergeCell ref="A1:H1"/>
    <mergeCell ref="A2:B2"/>
    <mergeCell ref="D2:E2"/>
    <mergeCell ref="G2:H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8CC2-3344-49D4-9397-23CA2672E2DD}">
  <dimension ref="A1:P1201"/>
  <sheetViews>
    <sheetView workbookViewId="0">
      <selection activeCell="P5" sqref="P5"/>
    </sheetView>
  </sheetViews>
  <sheetFormatPr defaultRowHeight="14.25" x14ac:dyDescent="0.45"/>
  <cols>
    <col min="1" max="1" width="10.265625" bestFit="1" customWidth="1"/>
    <col min="2" max="2" width="10.19921875" style="3" bestFit="1" customWidth="1"/>
    <col min="3" max="3" width="12.53125" bestFit="1" customWidth="1"/>
    <col min="4" max="4" width="9.265625" bestFit="1" customWidth="1"/>
    <col min="5" max="5" width="10.06640625" style="17" bestFit="1" customWidth="1"/>
    <col min="6" max="6" width="10.33203125" style="5" bestFit="1" customWidth="1"/>
    <col min="7" max="7" width="16.6640625" bestFit="1" customWidth="1"/>
    <col min="8" max="8" width="16.73046875" bestFit="1" customWidth="1"/>
    <col min="9" max="9" width="12.73046875" bestFit="1" customWidth="1"/>
    <col min="10" max="10" width="16.3984375" bestFit="1" customWidth="1"/>
    <col min="11" max="11" width="12.3984375" style="4" bestFit="1" customWidth="1"/>
    <col min="12" max="12" width="13.3984375" bestFit="1" customWidth="1"/>
    <col min="13" max="13" width="14.86328125" bestFit="1" customWidth="1"/>
    <col min="14" max="14" width="10.9296875" style="7" bestFit="1" customWidth="1"/>
  </cols>
  <sheetData>
    <row r="1" spans="1:16" x14ac:dyDescent="0.45">
      <c r="A1" t="s">
        <v>0</v>
      </c>
      <c r="B1" s="3" t="s">
        <v>1</v>
      </c>
      <c r="C1" t="s">
        <v>2</v>
      </c>
      <c r="D1" t="s">
        <v>3</v>
      </c>
      <c r="E1" s="20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s="7" t="s">
        <v>13</v>
      </c>
    </row>
    <row r="2" spans="1:16" x14ac:dyDescent="0.4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18">
        <v>2853.1</v>
      </c>
    </row>
    <row r="3" spans="1:16" x14ac:dyDescent="0.4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18">
        <v>302.7</v>
      </c>
    </row>
    <row r="4" spans="1:16" x14ac:dyDescent="0.4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18">
        <v>2753.4</v>
      </c>
    </row>
    <row r="5" spans="1:16" x14ac:dyDescent="0.4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18">
        <v>273.19</v>
      </c>
    </row>
    <row r="6" spans="1:16" x14ac:dyDescent="0.4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18">
        <v>2504.04</v>
      </c>
    </row>
    <row r="7" spans="1:16" x14ac:dyDescent="0.4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18">
        <v>491.72</v>
      </c>
    </row>
    <row r="8" spans="1:16" x14ac:dyDescent="0.4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18">
        <v>664.42</v>
      </c>
      <c r="P8" t="s">
        <v>4327</v>
      </c>
    </row>
    <row r="9" spans="1:16" x14ac:dyDescent="0.4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18">
        <v>747.75</v>
      </c>
    </row>
    <row r="10" spans="1:16" x14ac:dyDescent="0.4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18">
        <v>268.56</v>
      </c>
    </row>
    <row r="11" spans="1:16" x14ac:dyDescent="0.4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18">
        <v>2037.52</v>
      </c>
    </row>
    <row r="12" spans="1:16" x14ac:dyDescent="0.4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18">
        <v>3129.85</v>
      </c>
    </row>
    <row r="13" spans="1:16" x14ac:dyDescent="0.4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18">
        <v>147.41999999999999</v>
      </c>
    </row>
    <row r="14" spans="1:16" x14ac:dyDescent="0.4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18">
        <v>361</v>
      </c>
    </row>
    <row r="15" spans="1:16" x14ac:dyDescent="0.4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18">
        <v>604.47</v>
      </c>
    </row>
    <row r="16" spans="1:16" x14ac:dyDescent="0.4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18">
        <v>786.66</v>
      </c>
    </row>
    <row r="17" spans="1:14" x14ac:dyDescent="0.4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18">
        <v>473.96</v>
      </c>
    </row>
    <row r="18" spans="1:14" x14ac:dyDescent="0.4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18">
        <v>1067.6199999999999</v>
      </c>
    </row>
    <row r="19" spans="1:14" x14ac:dyDescent="0.4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18">
        <v>423.4</v>
      </c>
    </row>
    <row r="20" spans="1:14" x14ac:dyDescent="0.4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18">
        <v>431.44</v>
      </c>
    </row>
    <row r="21" spans="1:14" x14ac:dyDescent="0.4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18">
        <v>1120</v>
      </c>
    </row>
    <row r="22" spans="1:14" x14ac:dyDescent="0.4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18">
        <v>312.55</v>
      </c>
    </row>
    <row r="23" spans="1:14" x14ac:dyDescent="0.4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18">
        <v>1371.8</v>
      </c>
    </row>
    <row r="24" spans="1:14" x14ac:dyDescent="0.4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18">
        <v>99.24</v>
      </c>
    </row>
    <row r="25" spans="1:14" x14ac:dyDescent="0.4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18">
        <v>1093</v>
      </c>
    </row>
    <row r="26" spans="1:14" x14ac:dyDescent="0.4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18">
        <v>461.9</v>
      </c>
    </row>
    <row r="27" spans="1:14" x14ac:dyDescent="0.4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18">
        <v>399.98</v>
      </c>
    </row>
    <row r="28" spans="1:14" x14ac:dyDescent="0.4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18">
        <v>297.75</v>
      </c>
    </row>
    <row r="29" spans="1:14" x14ac:dyDescent="0.4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18">
        <v>472.74</v>
      </c>
    </row>
    <row r="30" spans="1:14" x14ac:dyDescent="0.4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18">
        <v>640.28</v>
      </c>
    </row>
    <row r="31" spans="1:14" x14ac:dyDescent="0.4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18">
        <v>1270.5899999999999</v>
      </c>
    </row>
    <row r="32" spans="1:14" x14ac:dyDescent="0.4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18">
        <v>853.4</v>
      </c>
    </row>
    <row r="33" spans="1:14" x14ac:dyDescent="0.4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18">
        <v>1500.24</v>
      </c>
    </row>
    <row r="34" spans="1:14" x14ac:dyDescent="0.4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18">
        <v>2683.6</v>
      </c>
    </row>
    <row r="35" spans="1:14" x14ac:dyDescent="0.4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18">
        <v>162.77000000000001</v>
      </c>
    </row>
    <row r="36" spans="1:14" x14ac:dyDescent="0.4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18">
        <v>2306.08</v>
      </c>
    </row>
    <row r="37" spans="1:14" x14ac:dyDescent="0.4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18">
        <v>930.3</v>
      </c>
    </row>
    <row r="38" spans="1:14" x14ac:dyDescent="0.4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18">
        <v>1068.8599999999999</v>
      </c>
    </row>
    <row r="39" spans="1:14" x14ac:dyDescent="0.4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18">
        <v>153.47999999999999</v>
      </c>
    </row>
    <row r="40" spans="1:14" x14ac:dyDescent="0.4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18">
        <v>245.89</v>
      </c>
    </row>
    <row r="41" spans="1:14" x14ac:dyDescent="0.4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18">
        <v>769.38</v>
      </c>
    </row>
    <row r="42" spans="1:14" x14ac:dyDescent="0.4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18">
        <v>688.04</v>
      </c>
    </row>
    <row r="43" spans="1:14" x14ac:dyDescent="0.4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18">
        <v>1834.35</v>
      </c>
    </row>
    <row r="44" spans="1:14" x14ac:dyDescent="0.4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18">
        <v>303.32</v>
      </c>
    </row>
    <row r="45" spans="1:14" x14ac:dyDescent="0.4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18">
        <v>1497.63</v>
      </c>
    </row>
    <row r="46" spans="1:14" x14ac:dyDescent="0.4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18">
        <v>1100.3599999999999</v>
      </c>
    </row>
    <row r="47" spans="1:14" x14ac:dyDescent="0.4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18">
        <v>317.25</v>
      </c>
    </row>
    <row r="48" spans="1:14" x14ac:dyDescent="0.4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18">
        <v>2200.56</v>
      </c>
    </row>
    <row r="49" spans="1:14" x14ac:dyDescent="0.4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18">
        <v>419.88</v>
      </c>
    </row>
    <row r="50" spans="1:14" x14ac:dyDescent="0.4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18">
        <v>161.54</v>
      </c>
    </row>
    <row r="51" spans="1:14" x14ac:dyDescent="0.4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18">
        <v>30.44</v>
      </c>
    </row>
    <row r="52" spans="1:14" x14ac:dyDescent="0.4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18">
        <v>179.22</v>
      </c>
    </row>
    <row r="53" spans="1:14" x14ac:dyDescent="0.4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18">
        <v>388.33</v>
      </c>
    </row>
    <row r="54" spans="1:14" x14ac:dyDescent="0.4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18">
        <v>586.44000000000005</v>
      </c>
    </row>
    <row r="55" spans="1:14" x14ac:dyDescent="0.4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18">
        <v>1955.12</v>
      </c>
    </row>
    <row r="56" spans="1:14" x14ac:dyDescent="0.4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18">
        <v>280.25</v>
      </c>
    </row>
    <row r="57" spans="1:14" x14ac:dyDescent="0.4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18">
        <v>1033.2</v>
      </c>
    </row>
    <row r="58" spans="1:14" x14ac:dyDescent="0.4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18">
        <v>1437.63</v>
      </c>
    </row>
    <row r="59" spans="1:14" x14ac:dyDescent="0.4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18">
        <v>1571.35</v>
      </c>
    </row>
    <row r="60" spans="1:14" x14ac:dyDescent="0.4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18">
        <v>1898.76</v>
      </c>
    </row>
    <row r="61" spans="1:14" x14ac:dyDescent="0.4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18">
        <v>2373.08</v>
      </c>
    </row>
    <row r="62" spans="1:14" x14ac:dyDescent="0.4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18">
        <v>417.1</v>
      </c>
    </row>
    <row r="63" spans="1:14" x14ac:dyDescent="0.4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18">
        <v>488.8</v>
      </c>
    </row>
    <row r="64" spans="1:14" x14ac:dyDescent="0.4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18">
        <v>86.3</v>
      </c>
    </row>
    <row r="65" spans="1:14" x14ac:dyDescent="0.4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18">
        <v>564.86</v>
      </c>
    </row>
    <row r="66" spans="1:14" x14ac:dyDescent="0.4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18">
        <v>391.83</v>
      </c>
    </row>
    <row r="67" spans="1:14" x14ac:dyDescent="0.4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18">
        <v>408.5</v>
      </c>
    </row>
    <row r="68" spans="1:14" x14ac:dyDescent="0.4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18">
        <v>635.9</v>
      </c>
    </row>
    <row r="69" spans="1:14" x14ac:dyDescent="0.4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18">
        <v>48.4</v>
      </c>
    </row>
    <row r="70" spans="1:14" x14ac:dyDescent="0.4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18">
        <v>1472.76</v>
      </c>
    </row>
    <row r="71" spans="1:14" x14ac:dyDescent="0.4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18">
        <v>1435.95</v>
      </c>
    </row>
    <row r="72" spans="1:14" x14ac:dyDescent="0.4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18">
        <v>629.21</v>
      </c>
    </row>
    <row r="73" spans="1:14" x14ac:dyDescent="0.4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18">
        <v>1303.3499999999999</v>
      </c>
    </row>
    <row r="74" spans="1:14" x14ac:dyDescent="0.4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18">
        <v>2357.7600000000002</v>
      </c>
    </row>
    <row r="75" spans="1:14" x14ac:dyDescent="0.4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18">
        <v>1733.8</v>
      </c>
    </row>
    <row r="76" spans="1:14" x14ac:dyDescent="0.4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18">
        <v>454.35</v>
      </c>
    </row>
    <row r="77" spans="1:14" x14ac:dyDescent="0.4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18">
        <v>1194.51</v>
      </c>
    </row>
    <row r="78" spans="1:14" x14ac:dyDescent="0.4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18">
        <v>1531.52</v>
      </c>
    </row>
    <row r="79" spans="1:14" x14ac:dyDescent="0.4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18">
        <v>583.17999999999995</v>
      </c>
    </row>
    <row r="80" spans="1:14" x14ac:dyDescent="0.4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18">
        <v>701.44</v>
      </c>
    </row>
    <row r="81" spans="1:14" x14ac:dyDescent="0.4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18">
        <v>623.82000000000005</v>
      </c>
    </row>
    <row r="82" spans="1:14" x14ac:dyDescent="0.4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18">
        <v>1768.68</v>
      </c>
    </row>
    <row r="83" spans="1:14" x14ac:dyDescent="0.4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18">
        <v>788.6</v>
      </c>
    </row>
    <row r="84" spans="1:14" x14ac:dyDescent="0.4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18">
        <v>2260.8000000000002</v>
      </c>
    </row>
    <row r="85" spans="1:14" x14ac:dyDescent="0.4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18">
        <v>2161.64</v>
      </c>
    </row>
    <row r="86" spans="1:14" x14ac:dyDescent="0.4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18">
        <v>330.98</v>
      </c>
    </row>
    <row r="87" spans="1:14" x14ac:dyDescent="0.4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18">
        <v>440.19</v>
      </c>
    </row>
    <row r="88" spans="1:14" x14ac:dyDescent="0.4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18">
        <v>3215.15</v>
      </c>
    </row>
    <row r="89" spans="1:14" x14ac:dyDescent="0.4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18">
        <v>675.33</v>
      </c>
    </row>
    <row r="90" spans="1:14" x14ac:dyDescent="0.4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18">
        <v>344.43</v>
      </c>
    </row>
    <row r="91" spans="1:14" x14ac:dyDescent="0.4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18">
        <v>2276.65</v>
      </c>
    </row>
    <row r="92" spans="1:14" x14ac:dyDescent="0.4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18">
        <v>728.32</v>
      </c>
    </row>
    <row r="93" spans="1:14" x14ac:dyDescent="0.4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18">
        <v>2463.75</v>
      </c>
    </row>
    <row r="94" spans="1:14" x14ac:dyDescent="0.4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18">
        <v>194.44</v>
      </c>
    </row>
    <row r="95" spans="1:14" x14ac:dyDescent="0.4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18">
        <v>1724.04</v>
      </c>
    </row>
    <row r="96" spans="1:14" x14ac:dyDescent="0.4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18">
        <v>531.17999999999995</v>
      </c>
    </row>
    <row r="97" spans="1:14" x14ac:dyDescent="0.4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18">
        <v>470.04</v>
      </c>
    </row>
    <row r="98" spans="1:14" x14ac:dyDescent="0.4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18">
        <v>465.66</v>
      </c>
    </row>
    <row r="99" spans="1:14" x14ac:dyDescent="0.4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18">
        <v>3097.6</v>
      </c>
    </row>
    <row r="100" spans="1:14" x14ac:dyDescent="0.4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18">
        <v>457.08</v>
      </c>
    </row>
    <row r="101" spans="1:14" x14ac:dyDescent="0.4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18">
        <v>201.58</v>
      </c>
    </row>
    <row r="102" spans="1:14" x14ac:dyDescent="0.4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18">
        <v>1994.37</v>
      </c>
    </row>
    <row r="103" spans="1:14" x14ac:dyDescent="0.4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18">
        <v>381.02</v>
      </c>
    </row>
    <row r="104" spans="1:14" x14ac:dyDescent="0.4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18">
        <v>140.68</v>
      </c>
    </row>
    <row r="105" spans="1:14" x14ac:dyDescent="0.4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18">
        <v>873.72</v>
      </c>
    </row>
    <row r="106" spans="1:14" x14ac:dyDescent="0.4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18">
        <v>582.04</v>
      </c>
    </row>
    <row r="107" spans="1:14" x14ac:dyDescent="0.4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18">
        <v>556.20000000000005</v>
      </c>
    </row>
    <row r="108" spans="1:14" x14ac:dyDescent="0.4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18">
        <v>1395.15</v>
      </c>
    </row>
    <row r="109" spans="1:14" x14ac:dyDescent="0.4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18">
        <v>3353.75</v>
      </c>
    </row>
    <row r="110" spans="1:14" x14ac:dyDescent="0.4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18">
        <v>241.9</v>
      </c>
    </row>
    <row r="111" spans="1:14" x14ac:dyDescent="0.4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18">
        <v>1778.61</v>
      </c>
    </row>
    <row r="112" spans="1:14" x14ac:dyDescent="0.4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18">
        <v>220.77</v>
      </c>
    </row>
    <row r="113" spans="1:14" x14ac:dyDescent="0.4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18">
        <v>927.66</v>
      </c>
    </row>
    <row r="114" spans="1:14" x14ac:dyDescent="0.4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18">
        <v>410.6</v>
      </c>
    </row>
    <row r="115" spans="1:14" x14ac:dyDescent="0.4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18">
        <v>950.4</v>
      </c>
    </row>
    <row r="116" spans="1:14" x14ac:dyDescent="0.4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18">
        <v>2492.4</v>
      </c>
    </row>
    <row r="117" spans="1:14" x14ac:dyDescent="0.4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18">
        <v>1874.95</v>
      </c>
    </row>
    <row r="118" spans="1:14" x14ac:dyDescent="0.4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18">
        <v>1165.4000000000001</v>
      </c>
    </row>
    <row r="119" spans="1:14" x14ac:dyDescent="0.4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18">
        <v>535.5</v>
      </c>
    </row>
    <row r="120" spans="1:14" x14ac:dyDescent="0.4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18">
        <v>2513.5500000000002</v>
      </c>
    </row>
    <row r="121" spans="1:14" x14ac:dyDescent="0.4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18">
        <v>1069.3399999999999</v>
      </c>
    </row>
    <row r="122" spans="1:14" x14ac:dyDescent="0.4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18">
        <v>2517.36</v>
      </c>
    </row>
    <row r="123" spans="1:14" x14ac:dyDescent="0.4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18">
        <v>410.78</v>
      </c>
    </row>
    <row r="124" spans="1:14" x14ac:dyDescent="0.4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18">
        <v>1066.04</v>
      </c>
    </row>
    <row r="125" spans="1:14" x14ac:dyDescent="0.4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18">
        <v>834.12</v>
      </c>
    </row>
    <row r="126" spans="1:14" x14ac:dyDescent="0.4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18">
        <v>1135.1600000000001</v>
      </c>
    </row>
    <row r="127" spans="1:14" x14ac:dyDescent="0.4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18">
        <v>1025.3</v>
      </c>
    </row>
    <row r="128" spans="1:14" x14ac:dyDescent="0.4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18">
        <v>1102</v>
      </c>
    </row>
    <row r="129" spans="1:14" x14ac:dyDescent="0.4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18">
        <v>1407.96</v>
      </c>
    </row>
    <row r="130" spans="1:14" x14ac:dyDescent="0.4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18">
        <v>84.28</v>
      </c>
    </row>
    <row r="131" spans="1:14" x14ac:dyDescent="0.4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18">
        <v>1055.72</v>
      </c>
    </row>
    <row r="132" spans="1:14" x14ac:dyDescent="0.4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18">
        <v>1503.9</v>
      </c>
    </row>
    <row r="133" spans="1:14" x14ac:dyDescent="0.4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18">
        <v>84.8</v>
      </c>
    </row>
    <row r="134" spans="1:14" x14ac:dyDescent="0.4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18">
        <v>1803</v>
      </c>
    </row>
    <row r="135" spans="1:14" x14ac:dyDescent="0.4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18">
        <v>1208.2</v>
      </c>
    </row>
    <row r="136" spans="1:14" x14ac:dyDescent="0.4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18">
        <v>399.4</v>
      </c>
    </row>
    <row r="137" spans="1:14" x14ac:dyDescent="0.4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18">
        <v>137.62</v>
      </c>
    </row>
    <row r="138" spans="1:14" x14ac:dyDescent="0.4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18">
        <v>44.35</v>
      </c>
    </row>
    <row r="139" spans="1:14" x14ac:dyDescent="0.4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18">
        <v>501.96</v>
      </c>
    </row>
    <row r="140" spans="1:14" x14ac:dyDescent="0.4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18">
        <v>298.06</v>
      </c>
    </row>
    <row r="141" spans="1:14" x14ac:dyDescent="0.4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18">
        <v>583.9</v>
      </c>
    </row>
    <row r="142" spans="1:14" x14ac:dyDescent="0.4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18">
        <v>1584.42</v>
      </c>
    </row>
    <row r="143" spans="1:14" x14ac:dyDescent="0.4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18">
        <v>2052.42</v>
      </c>
    </row>
    <row r="144" spans="1:14" x14ac:dyDescent="0.4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18">
        <v>1363.85</v>
      </c>
    </row>
    <row r="145" spans="1:14" x14ac:dyDescent="0.4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18">
        <v>1600.28</v>
      </c>
    </row>
    <row r="146" spans="1:14" x14ac:dyDescent="0.4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18">
        <v>1098.9000000000001</v>
      </c>
    </row>
    <row r="147" spans="1:14" x14ac:dyDescent="0.4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18">
        <v>440.73</v>
      </c>
    </row>
    <row r="148" spans="1:14" x14ac:dyDescent="0.4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18">
        <v>822.98</v>
      </c>
    </row>
    <row r="149" spans="1:14" x14ac:dyDescent="0.4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18">
        <v>930.36</v>
      </c>
    </row>
    <row r="150" spans="1:14" x14ac:dyDescent="0.4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18">
        <v>639.82000000000005</v>
      </c>
    </row>
    <row r="151" spans="1:14" x14ac:dyDescent="0.4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18">
        <v>217.56</v>
      </c>
    </row>
    <row r="152" spans="1:14" x14ac:dyDescent="0.4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18">
        <v>211.14</v>
      </c>
    </row>
    <row r="153" spans="1:14" x14ac:dyDescent="0.4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18">
        <v>2223.8000000000002</v>
      </c>
    </row>
    <row r="154" spans="1:14" x14ac:dyDescent="0.4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18">
        <v>798.08</v>
      </c>
    </row>
    <row r="155" spans="1:14" x14ac:dyDescent="0.4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18">
        <v>2137.92</v>
      </c>
    </row>
    <row r="156" spans="1:14" x14ac:dyDescent="0.4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18">
        <v>1632.84</v>
      </c>
    </row>
    <row r="157" spans="1:14" x14ac:dyDescent="0.4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18">
        <v>424.4</v>
      </c>
    </row>
    <row r="158" spans="1:14" x14ac:dyDescent="0.4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18">
        <v>539.66</v>
      </c>
    </row>
    <row r="159" spans="1:14" x14ac:dyDescent="0.4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18">
        <v>1129.1600000000001</v>
      </c>
    </row>
    <row r="160" spans="1:14" x14ac:dyDescent="0.4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18">
        <v>331.06</v>
      </c>
    </row>
    <row r="161" spans="1:14" x14ac:dyDescent="0.4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18">
        <v>299.35000000000002</v>
      </c>
    </row>
    <row r="162" spans="1:14" x14ac:dyDescent="0.4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18">
        <v>405.28</v>
      </c>
    </row>
    <row r="163" spans="1:14" x14ac:dyDescent="0.4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18">
        <v>211.14</v>
      </c>
    </row>
    <row r="164" spans="1:14" x14ac:dyDescent="0.4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18">
        <v>197.58</v>
      </c>
    </row>
    <row r="165" spans="1:14" x14ac:dyDescent="0.4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18">
        <v>641.39</v>
      </c>
    </row>
    <row r="166" spans="1:14" x14ac:dyDescent="0.4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18">
        <v>2682.9</v>
      </c>
    </row>
    <row r="167" spans="1:14" x14ac:dyDescent="0.4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18">
        <v>1000.58</v>
      </c>
    </row>
    <row r="168" spans="1:14" x14ac:dyDescent="0.4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18">
        <v>258.87</v>
      </c>
    </row>
    <row r="169" spans="1:14" x14ac:dyDescent="0.4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18">
        <v>768.28</v>
      </c>
    </row>
    <row r="170" spans="1:14" x14ac:dyDescent="0.4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18">
        <v>594.96</v>
      </c>
    </row>
    <row r="171" spans="1:14" x14ac:dyDescent="0.4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18">
        <v>427.82</v>
      </c>
    </row>
    <row r="172" spans="1:14" x14ac:dyDescent="0.4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18">
        <v>2651.76</v>
      </c>
    </row>
    <row r="173" spans="1:14" x14ac:dyDescent="0.4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18">
        <v>296.44</v>
      </c>
    </row>
    <row r="174" spans="1:14" x14ac:dyDescent="0.4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18">
        <v>254.12</v>
      </c>
    </row>
    <row r="175" spans="1:14" x14ac:dyDescent="0.4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18">
        <v>1993.38</v>
      </c>
    </row>
    <row r="176" spans="1:14" x14ac:dyDescent="0.4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18">
        <v>2403.2399999999998</v>
      </c>
    </row>
    <row r="177" spans="1:14" x14ac:dyDescent="0.4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18">
        <v>341.7</v>
      </c>
    </row>
    <row r="178" spans="1:14" x14ac:dyDescent="0.4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18">
        <v>1723.32</v>
      </c>
    </row>
    <row r="179" spans="1:14" x14ac:dyDescent="0.4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18">
        <v>2158.4499999999998</v>
      </c>
    </row>
    <row r="180" spans="1:14" x14ac:dyDescent="0.4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18">
        <v>2048.2399999999998</v>
      </c>
    </row>
    <row r="181" spans="1:14" x14ac:dyDescent="0.4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18">
        <v>1619.73</v>
      </c>
    </row>
    <row r="182" spans="1:14" x14ac:dyDescent="0.4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18">
        <v>1580.35</v>
      </c>
    </row>
    <row r="183" spans="1:14" x14ac:dyDescent="0.4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18">
        <v>2021.95</v>
      </c>
    </row>
    <row r="184" spans="1:14" x14ac:dyDescent="0.4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18">
        <v>600.54</v>
      </c>
    </row>
    <row r="185" spans="1:14" x14ac:dyDescent="0.4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18">
        <v>931.4</v>
      </c>
    </row>
    <row r="186" spans="1:14" x14ac:dyDescent="0.4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18">
        <v>858.16</v>
      </c>
    </row>
    <row r="187" spans="1:14" x14ac:dyDescent="0.4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18">
        <v>210.7</v>
      </c>
    </row>
    <row r="188" spans="1:14" x14ac:dyDescent="0.4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18">
        <v>267.10000000000002</v>
      </c>
    </row>
    <row r="189" spans="1:14" x14ac:dyDescent="0.4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18">
        <v>590.87</v>
      </c>
    </row>
    <row r="190" spans="1:14" x14ac:dyDescent="0.4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18">
        <v>727.82</v>
      </c>
    </row>
    <row r="191" spans="1:14" x14ac:dyDescent="0.4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18">
        <v>2147.25</v>
      </c>
    </row>
    <row r="192" spans="1:14" x14ac:dyDescent="0.4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18">
        <v>671.1</v>
      </c>
    </row>
    <row r="193" spans="1:14" x14ac:dyDescent="0.4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18">
        <v>977.74</v>
      </c>
    </row>
    <row r="194" spans="1:14" x14ac:dyDescent="0.4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18">
        <v>645.46</v>
      </c>
    </row>
    <row r="195" spans="1:14" x14ac:dyDescent="0.4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18">
        <v>46.66</v>
      </c>
    </row>
    <row r="196" spans="1:14" x14ac:dyDescent="0.4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18">
        <v>249.57</v>
      </c>
    </row>
    <row r="197" spans="1:14" x14ac:dyDescent="0.4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18">
        <v>1857.63</v>
      </c>
    </row>
    <row r="198" spans="1:14" x14ac:dyDescent="0.4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18">
        <v>868.52</v>
      </c>
    </row>
    <row r="199" spans="1:14" x14ac:dyDescent="0.4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18">
        <v>1107.55</v>
      </c>
    </row>
    <row r="200" spans="1:14" x14ac:dyDescent="0.4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18">
        <v>1361.2</v>
      </c>
    </row>
    <row r="201" spans="1:14" x14ac:dyDescent="0.4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18">
        <v>625</v>
      </c>
    </row>
    <row r="202" spans="1:14" x14ac:dyDescent="0.4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18">
        <v>2166.3000000000002</v>
      </c>
    </row>
    <row r="203" spans="1:14" x14ac:dyDescent="0.4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18">
        <v>1349.8</v>
      </c>
    </row>
    <row r="204" spans="1:14" x14ac:dyDescent="0.4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18">
        <v>761.94</v>
      </c>
    </row>
    <row r="205" spans="1:14" x14ac:dyDescent="0.4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18">
        <v>1070.52</v>
      </c>
    </row>
    <row r="206" spans="1:14" x14ac:dyDescent="0.4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18">
        <v>1654.84</v>
      </c>
    </row>
    <row r="207" spans="1:14" x14ac:dyDescent="0.4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18">
        <v>442.17</v>
      </c>
    </row>
    <row r="208" spans="1:14" x14ac:dyDescent="0.4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18">
        <v>916.4</v>
      </c>
    </row>
    <row r="209" spans="1:14" x14ac:dyDescent="0.4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18">
        <v>121.96</v>
      </c>
    </row>
    <row r="210" spans="1:14" x14ac:dyDescent="0.4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18">
        <v>816.64</v>
      </c>
    </row>
    <row r="211" spans="1:14" x14ac:dyDescent="0.4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18">
        <v>939.85</v>
      </c>
    </row>
    <row r="212" spans="1:14" x14ac:dyDescent="0.4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18">
        <v>1075.44</v>
      </c>
    </row>
    <row r="213" spans="1:14" x14ac:dyDescent="0.4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18">
        <v>580.74</v>
      </c>
    </row>
    <row r="214" spans="1:14" x14ac:dyDescent="0.4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18">
        <v>265.38</v>
      </c>
    </row>
    <row r="215" spans="1:14" x14ac:dyDescent="0.4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18">
        <v>634.4</v>
      </c>
    </row>
    <row r="216" spans="1:14" x14ac:dyDescent="0.4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18">
        <v>1222.8800000000001</v>
      </c>
    </row>
    <row r="217" spans="1:14" x14ac:dyDescent="0.4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18">
        <v>303.60000000000002</v>
      </c>
    </row>
    <row r="218" spans="1:14" x14ac:dyDescent="0.4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18">
        <v>1984</v>
      </c>
    </row>
    <row r="219" spans="1:14" x14ac:dyDescent="0.4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18">
        <v>1286.04</v>
      </c>
    </row>
    <row r="220" spans="1:14" x14ac:dyDescent="0.4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18">
        <v>337.38</v>
      </c>
    </row>
    <row r="221" spans="1:14" x14ac:dyDescent="0.4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18">
        <v>309.85000000000002</v>
      </c>
    </row>
    <row r="222" spans="1:14" x14ac:dyDescent="0.4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18">
        <v>746.34</v>
      </c>
    </row>
    <row r="223" spans="1:14" x14ac:dyDescent="0.4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18">
        <v>3196.85</v>
      </c>
    </row>
    <row r="224" spans="1:14" x14ac:dyDescent="0.4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18">
        <v>2773.44</v>
      </c>
    </row>
    <row r="225" spans="1:14" x14ac:dyDescent="0.4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18">
        <v>2771.64</v>
      </c>
    </row>
    <row r="226" spans="1:14" x14ac:dyDescent="0.4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18">
        <v>365.84</v>
      </c>
    </row>
    <row r="227" spans="1:14" x14ac:dyDescent="0.4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18">
        <v>821.88</v>
      </c>
    </row>
    <row r="228" spans="1:14" x14ac:dyDescent="0.4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18">
        <v>1764.15</v>
      </c>
    </row>
    <row r="229" spans="1:14" x14ac:dyDescent="0.4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18">
        <v>730.34</v>
      </c>
    </row>
    <row r="230" spans="1:14" x14ac:dyDescent="0.4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18">
        <v>1543.68</v>
      </c>
    </row>
    <row r="231" spans="1:14" x14ac:dyDescent="0.4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18">
        <v>562.61</v>
      </c>
    </row>
    <row r="232" spans="1:14" x14ac:dyDescent="0.4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18">
        <v>247.64</v>
      </c>
    </row>
    <row r="233" spans="1:14" x14ac:dyDescent="0.4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18">
        <v>167.6</v>
      </c>
    </row>
    <row r="234" spans="1:14" x14ac:dyDescent="0.4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18">
        <v>1777.76</v>
      </c>
    </row>
    <row r="235" spans="1:14" x14ac:dyDescent="0.4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18">
        <v>933.99</v>
      </c>
    </row>
    <row r="236" spans="1:14" x14ac:dyDescent="0.4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18">
        <v>945.64</v>
      </c>
    </row>
    <row r="237" spans="1:14" x14ac:dyDescent="0.4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18">
        <v>65.45</v>
      </c>
    </row>
    <row r="238" spans="1:14" x14ac:dyDescent="0.4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18">
        <v>318.81</v>
      </c>
    </row>
    <row r="239" spans="1:14" x14ac:dyDescent="0.4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18">
        <v>1751.16</v>
      </c>
    </row>
    <row r="240" spans="1:14" x14ac:dyDescent="0.4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18">
        <v>1537.28</v>
      </c>
    </row>
    <row r="241" spans="1:14" x14ac:dyDescent="0.4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18">
        <v>1616.22</v>
      </c>
    </row>
    <row r="242" spans="1:14" x14ac:dyDescent="0.4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18">
        <v>17.239999999999998</v>
      </c>
    </row>
    <row r="243" spans="1:14" x14ac:dyDescent="0.4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18">
        <v>3078.35</v>
      </c>
    </row>
    <row r="244" spans="1:14" x14ac:dyDescent="0.4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18">
        <v>438.2</v>
      </c>
    </row>
    <row r="245" spans="1:14" x14ac:dyDescent="0.4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18">
        <v>289.32</v>
      </c>
    </row>
    <row r="246" spans="1:14" x14ac:dyDescent="0.4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18">
        <v>635.54</v>
      </c>
    </row>
    <row r="247" spans="1:14" x14ac:dyDescent="0.4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18">
        <v>223.3</v>
      </c>
    </row>
    <row r="248" spans="1:14" x14ac:dyDescent="0.4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18">
        <v>684.22</v>
      </c>
    </row>
    <row r="249" spans="1:14" x14ac:dyDescent="0.4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18">
        <v>441.8</v>
      </c>
    </row>
    <row r="250" spans="1:14" x14ac:dyDescent="0.4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18">
        <v>670.54</v>
      </c>
    </row>
    <row r="251" spans="1:14" x14ac:dyDescent="0.4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18">
        <v>546.19000000000005</v>
      </c>
    </row>
    <row r="252" spans="1:14" x14ac:dyDescent="0.4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18">
        <v>128.85</v>
      </c>
    </row>
    <row r="253" spans="1:14" x14ac:dyDescent="0.4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18">
        <v>58.76</v>
      </c>
    </row>
    <row r="254" spans="1:14" x14ac:dyDescent="0.4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18">
        <v>2673.44</v>
      </c>
    </row>
    <row r="255" spans="1:14" x14ac:dyDescent="0.4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18">
        <v>1654.96</v>
      </c>
    </row>
    <row r="256" spans="1:14" x14ac:dyDescent="0.4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18">
        <v>789.57</v>
      </c>
    </row>
    <row r="257" spans="1:14" x14ac:dyDescent="0.4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18">
        <v>263.95999999999998</v>
      </c>
    </row>
    <row r="258" spans="1:14" x14ac:dyDescent="0.4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18">
        <v>379.05</v>
      </c>
    </row>
    <row r="259" spans="1:14" x14ac:dyDescent="0.4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18">
        <v>406.22</v>
      </c>
    </row>
    <row r="260" spans="1:14" x14ac:dyDescent="0.4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18">
        <v>206.82</v>
      </c>
    </row>
    <row r="261" spans="1:14" x14ac:dyDescent="0.4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18">
        <v>1740.48</v>
      </c>
    </row>
    <row r="262" spans="1:14" x14ac:dyDescent="0.4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18">
        <v>815.58</v>
      </c>
    </row>
    <row r="263" spans="1:14" x14ac:dyDescent="0.4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18">
        <v>868.25</v>
      </c>
    </row>
    <row r="264" spans="1:14" x14ac:dyDescent="0.4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18">
        <v>996.28</v>
      </c>
    </row>
    <row r="265" spans="1:14" x14ac:dyDescent="0.4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18">
        <v>1739.4</v>
      </c>
    </row>
    <row r="266" spans="1:14" x14ac:dyDescent="0.4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18">
        <v>436.77</v>
      </c>
    </row>
    <row r="267" spans="1:14" x14ac:dyDescent="0.4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18">
        <v>572.13</v>
      </c>
    </row>
    <row r="268" spans="1:14" x14ac:dyDescent="0.4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18">
        <v>2332.2800000000002</v>
      </c>
    </row>
    <row r="269" spans="1:14" x14ac:dyDescent="0.4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18">
        <v>2342.5500000000002</v>
      </c>
    </row>
    <row r="270" spans="1:14" x14ac:dyDescent="0.4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18">
        <v>847.76</v>
      </c>
    </row>
    <row r="271" spans="1:14" x14ac:dyDescent="0.4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18">
        <v>2654.68</v>
      </c>
    </row>
    <row r="272" spans="1:14" x14ac:dyDescent="0.4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18">
        <v>1239.6400000000001</v>
      </c>
    </row>
    <row r="273" spans="1:14" x14ac:dyDescent="0.4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18">
        <v>542.07000000000005</v>
      </c>
    </row>
    <row r="274" spans="1:14" x14ac:dyDescent="0.4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18">
        <v>798.64</v>
      </c>
    </row>
    <row r="275" spans="1:14" x14ac:dyDescent="0.4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18">
        <v>476.5</v>
      </c>
    </row>
    <row r="276" spans="1:14" x14ac:dyDescent="0.4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18">
        <v>364.8</v>
      </c>
    </row>
    <row r="277" spans="1:14" x14ac:dyDescent="0.4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18">
        <v>130.13999999999999</v>
      </c>
    </row>
    <row r="278" spans="1:14" x14ac:dyDescent="0.4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18">
        <v>1201.1400000000001</v>
      </c>
    </row>
    <row r="279" spans="1:14" x14ac:dyDescent="0.4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18">
        <v>454.6</v>
      </c>
    </row>
    <row r="280" spans="1:14" x14ac:dyDescent="0.4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18">
        <v>1812.3</v>
      </c>
    </row>
    <row r="281" spans="1:14" x14ac:dyDescent="0.4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18">
        <v>165.03</v>
      </c>
    </row>
    <row r="282" spans="1:14" x14ac:dyDescent="0.4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18">
        <v>1213.8599999999999</v>
      </c>
    </row>
    <row r="283" spans="1:14" x14ac:dyDescent="0.4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18">
        <v>2619.16</v>
      </c>
    </row>
    <row r="284" spans="1:14" x14ac:dyDescent="0.4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18">
        <v>2551.16</v>
      </c>
    </row>
    <row r="285" spans="1:14" x14ac:dyDescent="0.4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18">
        <v>2161.3200000000002</v>
      </c>
    </row>
    <row r="286" spans="1:14" x14ac:dyDescent="0.4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18">
        <v>1040.8499999999999</v>
      </c>
    </row>
    <row r="287" spans="1:14" x14ac:dyDescent="0.4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18">
        <v>338.31</v>
      </c>
    </row>
    <row r="288" spans="1:14" x14ac:dyDescent="0.4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18">
        <v>418.35</v>
      </c>
    </row>
    <row r="289" spans="1:14" x14ac:dyDescent="0.4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18">
        <v>2620.7199999999998</v>
      </c>
    </row>
    <row r="290" spans="1:14" x14ac:dyDescent="0.4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18">
        <v>2051</v>
      </c>
    </row>
    <row r="291" spans="1:14" x14ac:dyDescent="0.4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18">
        <v>641.96</v>
      </c>
    </row>
    <row r="292" spans="1:14" x14ac:dyDescent="0.4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18">
        <v>299.7</v>
      </c>
    </row>
    <row r="293" spans="1:14" x14ac:dyDescent="0.4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18">
        <v>690.02</v>
      </c>
    </row>
    <row r="294" spans="1:14" x14ac:dyDescent="0.4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18">
        <v>65.95</v>
      </c>
    </row>
    <row r="295" spans="1:14" x14ac:dyDescent="0.4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18">
        <v>1852.16</v>
      </c>
    </row>
    <row r="296" spans="1:14" x14ac:dyDescent="0.4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18">
        <v>595.41999999999996</v>
      </c>
    </row>
    <row r="297" spans="1:14" x14ac:dyDescent="0.4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18">
        <v>537.4</v>
      </c>
    </row>
    <row r="298" spans="1:14" x14ac:dyDescent="0.4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18">
        <v>3194</v>
      </c>
    </row>
    <row r="299" spans="1:14" x14ac:dyDescent="0.4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18">
        <v>987.76</v>
      </c>
    </row>
    <row r="300" spans="1:14" x14ac:dyDescent="0.4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18">
        <v>1204.68</v>
      </c>
    </row>
    <row r="301" spans="1:14" x14ac:dyDescent="0.4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18">
        <v>278.66000000000003</v>
      </c>
    </row>
    <row r="302" spans="1:14" x14ac:dyDescent="0.4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18">
        <v>287.45999999999998</v>
      </c>
    </row>
    <row r="303" spans="1:14" x14ac:dyDescent="0.4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18">
        <v>583.99</v>
      </c>
    </row>
    <row r="304" spans="1:14" x14ac:dyDescent="0.4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18">
        <v>1406.22</v>
      </c>
    </row>
    <row r="305" spans="1:14" x14ac:dyDescent="0.4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18">
        <v>30.54</v>
      </c>
    </row>
    <row r="306" spans="1:14" x14ac:dyDescent="0.4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18">
        <v>2043.65</v>
      </c>
    </row>
    <row r="307" spans="1:14" x14ac:dyDescent="0.4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18">
        <v>507.56</v>
      </c>
    </row>
    <row r="308" spans="1:14" x14ac:dyDescent="0.4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18">
        <v>114.14</v>
      </c>
    </row>
    <row r="309" spans="1:14" x14ac:dyDescent="0.4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18">
        <v>1672.23</v>
      </c>
    </row>
    <row r="310" spans="1:14" x14ac:dyDescent="0.4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18">
        <v>1346.7</v>
      </c>
    </row>
    <row r="311" spans="1:14" x14ac:dyDescent="0.4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18">
        <v>2199.04</v>
      </c>
    </row>
    <row r="312" spans="1:14" x14ac:dyDescent="0.4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18">
        <v>397.44</v>
      </c>
    </row>
    <row r="313" spans="1:14" x14ac:dyDescent="0.4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18">
        <v>2446.85</v>
      </c>
    </row>
    <row r="314" spans="1:14" x14ac:dyDescent="0.4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18">
        <v>331.55</v>
      </c>
    </row>
    <row r="315" spans="1:14" x14ac:dyDescent="0.4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18">
        <v>868.6</v>
      </c>
    </row>
    <row r="316" spans="1:14" x14ac:dyDescent="0.4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18">
        <v>612.36</v>
      </c>
    </row>
    <row r="317" spans="1:14" x14ac:dyDescent="0.4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18">
        <v>458.35</v>
      </c>
    </row>
    <row r="318" spans="1:14" x14ac:dyDescent="0.4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18">
        <v>1101.1199999999999</v>
      </c>
    </row>
    <row r="319" spans="1:14" x14ac:dyDescent="0.4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18">
        <v>279.89999999999998</v>
      </c>
    </row>
    <row r="320" spans="1:14" x14ac:dyDescent="0.4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18">
        <v>446.16</v>
      </c>
    </row>
    <row r="321" spans="1:14" x14ac:dyDescent="0.4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18">
        <v>1126.1199999999999</v>
      </c>
    </row>
    <row r="322" spans="1:14" x14ac:dyDescent="0.4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18">
        <v>625.51</v>
      </c>
    </row>
    <row r="323" spans="1:14" x14ac:dyDescent="0.4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18">
        <v>609.16</v>
      </c>
    </row>
    <row r="324" spans="1:14" x14ac:dyDescent="0.4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18">
        <v>1159.0999999999999</v>
      </c>
    </row>
    <row r="325" spans="1:14" x14ac:dyDescent="0.4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18">
        <v>150.16999999999999</v>
      </c>
    </row>
    <row r="326" spans="1:14" x14ac:dyDescent="0.4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18">
        <v>212.79</v>
      </c>
    </row>
    <row r="327" spans="1:14" x14ac:dyDescent="0.4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18">
        <v>1084.17</v>
      </c>
    </row>
    <row r="328" spans="1:14" x14ac:dyDescent="0.4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18">
        <v>3352.4</v>
      </c>
    </row>
    <row r="329" spans="1:14" x14ac:dyDescent="0.4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18">
        <v>359.99</v>
      </c>
    </row>
    <row r="330" spans="1:14" x14ac:dyDescent="0.4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18">
        <v>3370.2</v>
      </c>
    </row>
    <row r="331" spans="1:14" x14ac:dyDescent="0.4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18">
        <v>1132.6400000000001</v>
      </c>
    </row>
    <row r="332" spans="1:14" x14ac:dyDescent="0.4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18">
        <v>1302.6500000000001</v>
      </c>
    </row>
    <row r="333" spans="1:14" x14ac:dyDescent="0.4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18">
        <v>1266.3900000000001</v>
      </c>
    </row>
    <row r="334" spans="1:14" x14ac:dyDescent="0.4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18">
        <v>625.1</v>
      </c>
    </row>
    <row r="335" spans="1:14" x14ac:dyDescent="0.4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18">
        <v>198.51</v>
      </c>
    </row>
    <row r="336" spans="1:14" x14ac:dyDescent="0.4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18">
        <v>899</v>
      </c>
    </row>
    <row r="337" spans="1:14" x14ac:dyDescent="0.4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18">
        <v>617.58000000000004</v>
      </c>
    </row>
    <row r="338" spans="1:14" x14ac:dyDescent="0.4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18">
        <v>18.2</v>
      </c>
    </row>
    <row r="339" spans="1:14" x14ac:dyDescent="0.4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18">
        <v>1508.31</v>
      </c>
    </row>
    <row r="340" spans="1:14" x14ac:dyDescent="0.4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18">
        <v>1527.45</v>
      </c>
    </row>
    <row r="341" spans="1:14" x14ac:dyDescent="0.4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18">
        <v>472.66</v>
      </c>
    </row>
    <row r="342" spans="1:14" x14ac:dyDescent="0.4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18">
        <v>2606.25</v>
      </c>
    </row>
    <row r="343" spans="1:14" x14ac:dyDescent="0.4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18">
        <v>167.15</v>
      </c>
    </row>
    <row r="344" spans="1:14" x14ac:dyDescent="0.4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18">
        <v>2332.1</v>
      </c>
    </row>
    <row r="345" spans="1:14" x14ac:dyDescent="0.4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18">
        <v>527.57000000000005</v>
      </c>
    </row>
    <row r="346" spans="1:14" x14ac:dyDescent="0.4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18">
        <v>1870.02</v>
      </c>
    </row>
    <row r="347" spans="1:14" x14ac:dyDescent="0.4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18">
        <v>2506.3000000000002</v>
      </c>
    </row>
    <row r="348" spans="1:14" x14ac:dyDescent="0.4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18">
        <v>655.09</v>
      </c>
    </row>
    <row r="349" spans="1:14" x14ac:dyDescent="0.4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18">
        <v>1059.1600000000001</v>
      </c>
    </row>
    <row r="350" spans="1:14" x14ac:dyDescent="0.4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18">
        <v>1079.19</v>
      </c>
    </row>
    <row r="351" spans="1:14" x14ac:dyDescent="0.4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18">
        <v>465.33</v>
      </c>
    </row>
    <row r="352" spans="1:14" x14ac:dyDescent="0.4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18">
        <v>108.82</v>
      </c>
    </row>
    <row r="353" spans="1:14" x14ac:dyDescent="0.4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18">
        <v>64.66</v>
      </c>
    </row>
    <row r="354" spans="1:14" x14ac:dyDescent="0.4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18">
        <v>869.8</v>
      </c>
    </row>
    <row r="355" spans="1:14" x14ac:dyDescent="0.4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18">
        <v>630.82000000000005</v>
      </c>
    </row>
    <row r="356" spans="1:14" x14ac:dyDescent="0.4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18">
        <v>693.41</v>
      </c>
    </row>
    <row r="357" spans="1:14" x14ac:dyDescent="0.4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18">
        <v>1299.99</v>
      </c>
    </row>
    <row r="358" spans="1:14" x14ac:dyDescent="0.4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18">
        <v>1872.9</v>
      </c>
    </row>
    <row r="359" spans="1:14" x14ac:dyDescent="0.4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18">
        <v>2042.8</v>
      </c>
    </row>
    <row r="360" spans="1:14" x14ac:dyDescent="0.4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18">
        <v>367.34</v>
      </c>
    </row>
    <row r="361" spans="1:14" x14ac:dyDescent="0.4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18">
        <v>2426.2800000000002</v>
      </c>
    </row>
    <row r="362" spans="1:14" x14ac:dyDescent="0.4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18">
        <v>2358.2800000000002</v>
      </c>
    </row>
    <row r="363" spans="1:14" x14ac:dyDescent="0.4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18">
        <v>3299.25</v>
      </c>
    </row>
    <row r="364" spans="1:14" x14ac:dyDescent="0.4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18">
        <v>827.36</v>
      </c>
    </row>
    <row r="365" spans="1:14" x14ac:dyDescent="0.4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18">
        <v>569.35</v>
      </c>
    </row>
    <row r="366" spans="1:14" x14ac:dyDescent="0.4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18">
        <v>3143.7</v>
      </c>
    </row>
    <row r="367" spans="1:14" x14ac:dyDescent="0.4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18">
        <v>678.38</v>
      </c>
    </row>
    <row r="368" spans="1:14" x14ac:dyDescent="0.4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18">
        <v>1806.72</v>
      </c>
    </row>
    <row r="369" spans="1:14" x14ac:dyDescent="0.4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18">
        <v>3293.85</v>
      </c>
    </row>
    <row r="370" spans="1:14" x14ac:dyDescent="0.4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18">
        <v>813.06</v>
      </c>
    </row>
    <row r="371" spans="1:14" x14ac:dyDescent="0.4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18">
        <v>1876.25</v>
      </c>
    </row>
    <row r="372" spans="1:14" x14ac:dyDescent="0.4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18">
        <v>312.11</v>
      </c>
    </row>
    <row r="373" spans="1:14" x14ac:dyDescent="0.4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18">
        <v>1538.8</v>
      </c>
    </row>
    <row r="374" spans="1:14" x14ac:dyDescent="0.4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18">
        <v>1450.59</v>
      </c>
    </row>
    <row r="375" spans="1:14" x14ac:dyDescent="0.4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18">
        <v>1023.45</v>
      </c>
    </row>
    <row r="376" spans="1:14" x14ac:dyDescent="0.4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18">
        <v>571.9</v>
      </c>
    </row>
    <row r="377" spans="1:14" x14ac:dyDescent="0.4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18">
        <v>380.12</v>
      </c>
    </row>
    <row r="378" spans="1:14" x14ac:dyDescent="0.4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18">
        <v>1006.1</v>
      </c>
    </row>
    <row r="379" spans="1:14" x14ac:dyDescent="0.4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18">
        <v>260.26</v>
      </c>
    </row>
    <row r="380" spans="1:14" x14ac:dyDescent="0.4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18">
        <v>322.5</v>
      </c>
    </row>
    <row r="381" spans="1:14" x14ac:dyDescent="0.4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18">
        <v>893.01</v>
      </c>
    </row>
    <row r="382" spans="1:14" x14ac:dyDescent="0.4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18">
        <v>1327.6</v>
      </c>
    </row>
    <row r="383" spans="1:14" x14ac:dyDescent="0.4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18">
        <v>191.76</v>
      </c>
    </row>
    <row r="384" spans="1:14" x14ac:dyDescent="0.4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18">
        <v>1052.3599999999999</v>
      </c>
    </row>
    <row r="385" spans="1:14" x14ac:dyDescent="0.4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18">
        <v>1575.2</v>
      </c>
    </row>
    <row r="386" spans="1:14" x14ac:dyDescent="0.4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18">
        <v>1660.71</v>
      </c>
    </row>
    <row r="387" spans="1:14" x14ac:dyDescent="0.4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18">
        <v>958.15</v>
      </c>
    </row>
    <row r="388" spans="1:14" x14ac:dyDescent="0.4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18">
        <v>93.02</v>
      </c>
    </row>
    <row r="389" spans="1:14" x14ac:dyDescent="0.4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18">
        <v>79.06</v>
      </c>
    </row>
    <row r="390" spans="1:14" x14ac:dyDescent="0.4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18">
        <v>1901.91</v>
      </c>
    </row>
    <row r="391" spans="1:14" x14ac:dyDescent="0.4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18">
        <v>2790</v>
      </c>
    </row>
    <row r="392" spans="1:14" x14ac:dyDescent="0.4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18">
        <v>2543.4499999999998</v>
      </c>
    </row>
    <row r="393" spans="1:14" x14ac:dyDescent="0.4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18">
        <v>1054.92</v>
      </c>
    </row>
    <row r="394" spans="1:14" x14ac:dyDescent="0.4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18">
        <v>627.20000000000005</v>
      </c>
    </row>
    <row r="395" spans="1:14" x14ac:dyDescent="0.4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18">
        <v>75.010000000000005</v>
      </c>
    </row>
    <row r="396" spans="1:14" x14ac:dyDescent="0.4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18">
        <v>2647.75</v>
      </c>
    </row>
    <row r="397" spans="1:14" x14ac:dyDescent="0.4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18">
        <v>382.23</v>
      </c>
    </row>
    <row r="398" spans="1:14" x14ac:dyDescent="0.4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18">
        <v>1435.65</v>
      </c>
    </row>
    <row r="399" spans="1:14" x14ac:dyDescent="0.4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18">
        <v>427.06</v>
      </c>
    </row>
    <row r="400" spans="1:14" x14ac:dyDescent="0.4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18">
        <v>269.64999999999998</v>
      </c>
    </row>
    <row r="401" spans="1:14" x14ac:dyDescent="0.4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18">
        <v>2119.65</v>
      </c>
    </row>
    <row r="402" spans="1:14" x14ac:dyDescent="0.4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18">
        <v>640.88</v>
      </c>
    </row>
    <row r="403" spans="1:14" x14ac:dyDescent="0.4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18">
        <v>538.67999999999995</v>
      </c>
    </row>
    <row r="404" spans="1:14" x14ac:dyDescent="0.4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18">
        <v>1686.9</v>
      </c>
    </row>
    <row r="405" spans="1:14" x14ac:dyDescent="0.4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18">
        <v>620.21</v>
      </c>
    </row>
    <row r="406" spans="1:14" x14ac:dyDescent="0.4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18">
        <v>198.2</v>
      </c>
    </row>
    <row r="407" spans="1:14" x14ac:dyDescent="0.4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18">
        <v>1807.88</v>
      </c>
    </row>
    <row r="408" spans="1:14" x14ac:dyDescent="0.4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18">
        <v>264.39999999999998</v>
      </c>
    </row>
    <row r="409" spans="1:14" x14ac:dyDescent="0.4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18">
        <v>2189.2800000000002</v>
      </c>
    </row>
    <row r="410" spans="1:14" x14ac:dyDescent="0.4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18">
        <v>1237.5899999999999</v>
      </c>
    </row>
    <row r="411" spans="1:14" x14ac:dyDescent="0.4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18">
        <v>420.65</v>
      </c>
    </row>
    <row r="412" spans="1:14" x14ac:dyDescent="0.4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18">
        <v>1036.46</v>
      </c>
    </row>
    <row r="413" spans="1:14" x14ac:dyDescent="0.4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18">
        <v>79.02</v>
      </c>
    </row>
    <row r="414" spans="1:14" x14ac:dyDescent="0.4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18">
        <v>665.05</v>
      </c>
    </row>
    <row r="415" spans="1:14" x14ac:dyDescent="0.4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18">
        <v>118.8</v>
      </c>
    </row>
    <row r="416" spans="1:14" x14ac:dyDescent="0.4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18">
        <v>279.14</v>
      </c>
    </row>
    <row r="417" spans="1:14" x14ac:dyDescent="0.4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18">
        <v>184.15</v>
      </c>
    </row>
    <row r="418" spans="1:14" x14ac:dyDescent="0.4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18">
        <v>1288.0999999999999</v>
      </c>
    </row>
    <row r="419" spans="1:14" x14ac:dyDescent="0.4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18">
        <v>277.05</v>
      </c>
    </row>
    <row r="420" spans="1:14" x14ac:dyDescent="0.4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18">
        <v>310.93</v>
      </c>
    </row>
    <row r="421" spans="1:14" x14ac:dyDescent="0.4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18">
        <v>433.32</v>
      </c>
    </row>
    <row r="422" spans="1:14" x14ac:dyDescent="0.4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18">
        <v>452.7</v>
      </c>
    </row>
    <row r="423" spans="1:14" x14ac:dyDescent="0.4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18">
        <v>576.41999999999996</v>
      </c>
    </row>
    <row r="424" spans="1:14" x14ac:dyDescent="0.4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18">
        <v>826.4</v>
      </c>
    </row>
    <row r="425" spans="1:14" x14ac:dyDescent="0.4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18">
        <v>2740.8</v>
      </c>
    </row>
    <row r="426" spans="1:14" x14ac:dyDescent="0.4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18">
        <v>114.7</v>
      </c>
    </row>
    <row r="427" spans="1:14" x14ac:dyDescent="0.4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18">
        <v>603.76</v>
      </c>
    </row>
    <row r="428" spans="1:14" x14ac:dyDescent="0.4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18">
        <v>287.25</v>
      </c>
    </row>
    <row r="429" spans="1:14" x14ac:dyDescent="0.4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18">
        <v>161.24</v>
      </c>
    </row>
    <row r="430" spans="1:14" x14ac:dyDescent="0.4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18">
        <v>1050.32</v>
      </c>
    </row>
    <row r="431" spans="1:14" x14ac:dyDescent="0.4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18">
        <v>2060.7600000000002</v>
      </c>
    </row>
    <row r="432" spans="1:14" x14ac:dyDescent="0.4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18">
        <v>450.07</v>
      </c>
    </row>
    <row r="433" spans="1:14" x14ac:dyDescent="0.4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18">
        <v>52.54</v>
      </c>
    </row>
    <row r="434" spans="1:14" x14ac:dyDescent="0.4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18">
        <v>848.64</v>
      </c>
    </row>
    <row r="435" spans="1:14" x14ac:dyDescent="0.4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18">
        <v>1894.92</v>
      </c>
    </row>
    <row r="436" spans="1:14" x14ac:dyDescent="0.4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18">
        <v>1638.4</v>
      </c>
    </row>
    <row r="437" spans="1:14" x14ac:dyDescent="0.4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18">
        <v>414.47</v>
      </c>
    </row>
    <row r="438" spans="1:14" x14ac:dyDescent="0.4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18">
        <v>885.32</v>
      </c>
    </row>
    <row r="439" spans="1:14" x14ac:dyDescent="0.4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18">
        <v>512.39</v>
      </c>
    </row>
    <row r="440" spans="1:14" x14ac:dyDescent="0.4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18">
        <v>1378.02</v>
      </c>
    </row>
    <row r="441" spans="1:14" x14ac:dyDescent="0.4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18">
        <v>146.32</v>
      </c>
    </row>
    <row r="442" spans="1:14" x14ac:dyDescent="0.4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18">
        <v>334.4</v>
      </c>
    </row>
    <row r="443" spans="1:14" x14ac:dyDescent="0.4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18">
        <v>657.08</v>
      </c>
    </row>
    <row r="444" spans="1:14" x14ac:dyDescent="0.4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18">
        <v>1574.7</v>
      </c>
    </row>
    <row r="445" spans="1:14" x14ac:dyDescent="0.4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18">
        <v>139.28</v>
      </c>
    </row>
    <row r="446" spans="1:14" x14ac:dyDescent="0.4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18">
        <v>135.16999999999999</v>
      </c>
    </row>
    <row r="447" spans="1:14" x14ac:dyDescent="0.4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18">
        <v>487.21</v>
      </c>
    </row>
    <row r="448" spans="1:14" x14ac:dyDescent="0.4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18">
        <v>2547.9</v>
      </c>
    </row>
    <row r="449" spans="1:14" x14ac:dyDescent="0.4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18">
        <v>833.62</v>
      </c>
    </row>
    <row r="450" spans="1:14" x14ac:dyDescent="0.4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18">
        <v>320</v>
      </c>
    </row>
    <row r="451" spans="1:14" x14ac:dyDescent="0.4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18">
        <v>759.15</v>
      </c>
    </row>
    <row r="452" spans="1:14" x14ac:dyDescent="0.4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18">
        <v>3075.5</v>
      </c>
    </row>
    <row r="453" spans="1:14" x14ac:dyDescent="0.4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18">
        <v>183.18</v>
      </c>
    </row>
    <row r="454" spans="1:14" x14ac:dyDescent="0.4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18">
        <v>75.78</v>
      </c>
    </row>
    <row r="455" spans="1:14" x14ac:dyDescent="0.4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18">
        <v>675.57</v>
      </c>
    </row>
    <row r="456" spans="1:14" x14ac:dyDescent="0.4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18">
        <v>109.29</v>
      </c>
    </row>
    <row r="457" spans="1:14" x14ac:dyDescent="0.4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18">
        <v>639.83000000000004</v>
      </c>
    </row>
    <row r="458" spans="1:14" x14ac:dyDescent="0.4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18">
        <v>314.05</v>
      </c>
    </row>
    <row r="459" spans="1:14" x14ac:dyDescent="0.4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18">
        <v>2463.3200000000002</v>
      </c>
    </row>
    <row r="460" spans="1:14" x14ac:dyDescent="0.4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18">
        <v>2042.32</v>
      </c>
    </row>
    <row r="461" spans="1:14" x14ac:dyDescent="0.4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18">
        <v>334.39</v>
      </c>
    </row>
    <row r="462" spans="1:14" x14ac:dyDescent="0.4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18">
        <v>144.25</v>
      </c>
    </row>
    <row r="463" spans="1:14" x14ac:dyDescent="0.4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18">
        <v>401.82</v>
      </c>
    </row>
    <row r="464" spans="1:14" x14ac:dyDescent="0.4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18">
        <v>252.68</v>
      </c>
    </row>
    <row r="465" spans="1:14" x14ac:dyDescent="0.4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18">
        <v>3313.9</v>
      </c>
    </row>
    <row r="466" spans="1:14" x14ac:dyDescent="0.4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18">
        <v>1737.68</v>
      </c>
    </row>
    <row r="467" spans="1:14" x14ac:dyDescent="0.4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18">
        <v>2567.4499999999998</v>
      </c>
    </row>
    <row r="468" spans="1:14" x14ac:dyDescent="0.4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18">
        <v>432.47</v>
      </c>
    </row>
    <row r="469" spans="1:14" x14ac:dyDescent="0.4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18">
        <v>45.94</v>
      </c>
    </row>
    <row r="470" spans="1:14" x14ac:dyDescent="0.4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18">
        <v>418.36</v>
      </c>
    </row>
    <row r="471" spans="1:14" x14ac:dyDescent="0.4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18">
        <v>3384.9</v>
      </c>
    </row>
    <row r="472" spans="1:14" x14ac:dyDescent="0.4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18">
        <v>1054.48</v>
      </c>
    </row>
    <row r="473" spans="1:14" x14ac:dyDescent="0.4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18">
        <v>2756.35</v>
      </c>
    </row>
    <row r="474" spans="1:14" x14ac:dyDescent="0.4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18">
        <v>1524.36</v>
      </c>
    </row>
    <row r="475" spans="1:14" x14ac:dyDescent="0.4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18">
        <v>29.86</v>
      </c>
    </row>
    <row r="476" spans="1:14" x14ac:dyDescent="0.4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18">
        <v>688.02</v>
      </c>
    </row>
    <row r="477" spans="1:14" x14ac:dyDescent="0.4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18">
        <v>877.24</v>
      </c>
    </row>
    <row r="478" spans="1:14" x14ac:dyDescent="0.4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18">
        <v>1027.18</v>
      </c>
    </row>
    <row r="479" spans="1:14" x14ac:dyDescent="0.4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18">
        <v>507.48</v>
      </c>
    </row>
    <row r="480" spans="1:14" x14ac:dyDescent="0.4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18">
        <v>188.31</v>
      </c>
    </row>
    <row r="481" spans="1:14" x14ac:dyDescent="0.4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18">
        <v>101.16</v>
      </c>
    </row>
    <row r="482" spans="1:14" x14ac:dyDescent="0.4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18">
        <v>335.1</v>
      </c>
    </row>
    <row r="483" spans="1:14" x14ac:dyDescent="0.4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18">
        <v>1939.4</v>
      </c>
    </row>
    <row r="484" spans="1:14" x14ac:dyDescent="0.4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18">
        <v>1144.23</v>
      </c>
    </row>
    <row r="485" spans="1:14" x14ac:dyDescent="0.4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18">
        <v>1739.6</v>
      </c>
    </row>
    <row r="486" spans="1:14" x14ac:dyDescent="0.4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18">
        <v>60.04</v>
      </c>
    </row>
    <row r="487" spans="1:14" x14ac:dyDescent="0.4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18">
        <v>1214.3699999999999</v>
      </c>
    </row>
    <row r="488" spans="1:14" x14ac:dyDescent="0.4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18">
        <v>2445.04</v>
      </c>
    </row>
    <row r="489" spans="1:14" x14ac:dyDescent="0.4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18">
        <v>1039.56</v>
      </c>
    </row>
    <row r="490" spans="1:14" x14ac:dyDescent="0.4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18">
        <v>36.65</v>
      </c>
    </row>
    <row r="491" spans="1:14" x14ac:dyDescent="0.4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18">
        <v>448.02</v>
      </c>
    </row>
    <row r="492" spans="1:14" x14ac:dyDescent="0.4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18">
        <v>2339.0500000000002</v>
      </c>
    </row>
    <row r="493" spans="1:14" x14ac:dyDescent="0.4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18">
        <v>2103.5</v>
      </c>
    </row>
    <row r="494" spans="1:14" x14ac:dyDescent="0.4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18">
        <v>3032.6</v>
      </c>
    </row>
    <row r="495" spans="1:14" x14ac:dyDescent="0.4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18">
        <v>420.26</v>
      </c>
    </row>
    <row r="496" spans="1:14" x14ac:dyDescent="0.4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18">
        <v>1517.37</v>
      </c>
    </row>
    <row r="497" spans="1:14" x14ac:dyDescent="0.4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18">
        <v>1974.92</v>
      </c>
    </row>
    <row r="498" spans="1:14" x14ac:dyDescent="0.4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18">
        <v>603.63</v>
      </c>
    </row>
    <row r="499" spans="1:14" x14ac:dyDescent="0.4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18">
        <v>336.87</v>
      </c>
    </row>
    <row r="500" spans="1:14" x14ac:dyDescent="0.4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18">
        <v>530.24</v>
      </c>
    </row>
    <row r="501" spans="1:14" x14ac:dyDescent="0.4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18">
        <v>1618.38</v>
      </c>
    </row>
    <row r="502" spans="1:14" x14ac:dyDescent="0.4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18">
        <v>2542.9499999999998</v>
      </c>
    </row>
    <row r="503" spans="1:14" x14ac:dyDescent="0.4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18">
        <v>813.84</v>
      </c>
    </row>
    <row r="504" spans="1:14" x14ac:dyDescent="0.4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18">
        <v>1695.75</v>
      </c>
    </row>
    <row r="505" spans="1:14" x14ac:dyDescent="0.4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18">
        <v>410.52</v>
      </c>
    </row>
    <row r="506" spans="1:14" x14ac:dyDescent="0.4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18">
        <v>929</v>
      </c>
    </row>
    <row r="507" spans="1:14" x14ac:dyDescent="0.4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18">
        <v>869.94</v>
      </c>
    </row>
    <row r="508" spans="1:14" x14ac:dyDescent="0.4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18">
        <v>87.34</v>
      </c>
    </row>
    <row r="509" spans="1:14" x14ac:dyDescent="0.4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18">
        <v>171.59</v>
      </c>
    </row>
    <row r="510" spans="1:14" x14ac:dyDescent="0.4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18">
        <v>558.27</v>
      </c>
    </row>
    <row r="511" spans="1:14" x14ac:dyDescent="0.4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18">
        <v>850.06</v>
      </c>
    </row>
    <row r="512" spans="1:14" x14ac:dyDescent="0.4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18">
        <v>376.76</v>
      </c>
    </row>
    <row r="513" spans="1:14" x14ac:dyDescent="0.4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18">
        <v>2876.2</v>
      </c>
    </row>
    <row r="514" spans="1:14" x14ac:dyDescent="0.4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18">
        <v>1704.06</v>
      </c>
    </row>
    <row r="515" spans="1:14" x14ac:dyDescent="0.4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18">
        <v>284.64</v>
      </c>
    </row>
    <row r="516" spans="1:14" x14ac:dyDescent="0.4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18">
        <v>912.45</v>
      </c>
    </row>
    <row r="517" spans="1:14" x14ac:dyDescent="0.4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18">
        <v>1660.56</v>
      </c>
    </row>
    <row r="518" spans="1:14" x14ac:dyDescent="0.4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18">
        <v>500.97</v>
      </c>
    </row>
    <row r="519" spans="1:14" x14ac:dyDescent="0.4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18">
        <v>793.4</v>
      </c>
    </row>
    <row r="520" spans="1:14" x14ac:dyDescent="0.4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18">
        <v>1614.32</v>
      </c>
    </row>
    <row r="521" spans="1:14" x14ac:dyDescent="0.4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18">
        <v>1857.16</v>
      </c>
    </row>
    <row r="522" spans="1:14" x14ac:dyDescent="0.4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18">
        <v>1907.94</v>
      </c>
    </row>
    <row r="523" spans="1:14" x14ac:dyDescent="0.4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18">
        <v>528.05999999999995</v>
      </c>
    </row>
    <row r="524" spans="1:14" x14ac:dyDescent="0.4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18">
        <v>515.32000000000005</v>
      </c>
    </row>
    <row r="525" spans="1:14" x14ac:dyDescent="0.4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18">
        <v>2631.16</v>
      </c>
    </row>
    <row r="526" spans="1:14" x14ac:dyDescent="0.4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18">
        <v>153</v>
      </c>
    </row>
    <row r="527" spans="1:14" x14ac:dyDescent="0.4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18">
        <v>668.48</v>
      </c>
    </row>
    <row r="528" spans="1:14" x14ac:dyDescent="0.4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18">
        <v>93</v>
      </c>
    </row>
    <row r="529" spans="1:14" x14ac:dyDescent="0.4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18">
        <v>3267.35</v>
      </c>
    </row>
    <row r="530" spans="1:14" x14ac:dyDescent="0.4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18">
        <v>628.89</v>
      </c>
    </row>
    <row r="531" spans="1:14" x14ac:dyDescent="0.4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18">
        <v>1350.2</v>
      </c>
    </row>
    <row r="532" spans="1:14" x14ac:dyDescent="0.4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18">
        <v>357.64</v>
      </c>
    </row>
    <row r="533" spans="1:14" x14ac:dyDescent="0.4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18">
        <v>1600.05</v>
      </c>
    </row>
    <row r="534" spans="1:14" x14ac:dyDescent="0.4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18">
        <v>82</v>
      </c>
    </row>
    <row r="535" spans="1:14" x14ac:dyDescent="0.4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18">
        <v>565.85</v>
      </c>
    </row>
    <row r="536" spans="1:14" x14ac:dyDescent="0.4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18">
        <v>1945.77</v>
      </c>
    </row>
    <row r="537" spans="1:14" x14ac:dyDescent="0.4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18">
        <v>204.36</v>
      </c>
    </row>
    <row r="538" spans="1:14" x14ac:dyDescent="0.4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18">
        <v>616.1</v>
      </c>
    </row>
    <row r="539" spans="1:14" x14ac:dyDescent="0.4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18">
        <v>742.41</v>
      </c>
    </row>
    <row r="540" spans="1:14" x14ac:dyDescent="0.4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18">
        <v>1472.22</v>
      </c>
    </row>
    <row r="541" spans="1:14" x14ac:dyDescent="0.4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18">
        <v>1595.16</v>
      </c>
    </row>
    <row r="542" spans="1:14" x14ac:dyDescent="0.4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18">
        <v>3243.25</v>
      </c>
    </row>
    <row r="543" spans="1:14" x14ac:dyDescent="0.4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18">
        <v>2280.3000000000002</v>
      </c>
    </row>
    <row r="544" spans="1:14" x14ac:dyDescent="0.4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18">
        <v>17.98</v>
      </c>
    </row>
    <row r="545" spans="1:14" x14ac:dyDescent="0.4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18">
        <v>1349.3</v>
      </c>
    </row>
    <row r="546" spans="1:14" x14ac:dyDescent="0.4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18">
        <v>159.80000000000001</v>
      </c>
    </row>
    <row r="547" spans="1:14" x14ac:dyDescent="0.4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18">
        <v>196.94</v>
      </c>
    </row>
    <row r="548" spans="1:14" x14ac:dyDescent="0.4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18">
        <v>158.68</v>
      </c>
    </row>
    <row r="549" spans="1:14" x14ac:dyDescent="0.4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18">
        <v>613.98</v>
      </c>
    </row>
    <row r="550" spans="1:14" x14ac:dyDescent="0.4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18">
        <v>1278.3599999999999</v>
      </c>
    </row>
    <row r="551" spans="1:14" x14ac:dyDescent="0.4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18">
        <v>2519.52</v>
      </c>
    </row>
    <row r="552" spans="1:14" x14ac:dyDescent="0.4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18">
        <v>915.64</v>
      </c>
    </row>
    <row r="553" spans="1:14" x14ac:dyDescent="0.4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18">
        <v>120.98</v>
      </c>
    </row>
    <row r="554" spans="1:14" x14ac:dyDescent="0.4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18">
        <v>1700.72</v>
      </c>
    </row>
    <row r="555" spans="1:14" x14ac:dyDescent="0.4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18">
        <v>667.66</v>
      </c>
    </row>
    <row r="556" spans="1:14" x14ac:dyDescent="0.4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18">
        <v>985.8</v>
      </c>
    </row>
    <row r="557" spans="1:14" x14ac:dyDescent="0.4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18">
        <v>92.04</v>
      </c>
    </row>
    <row r="558" spans="1:14" x14ac:dyDescent="0.4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18">
        <v>654.27</v>
      </c>
    </row>
    <row r="559" spans="1:14" x14ac:dyDescent="0.4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18">
        <v>56.2</v>
      </c>
    </row>
    <row r="560" spans="1:14" x14ac:dyDescent="0.4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18">
        <v>2512.48</v>
      </c>
    </row>
    <row r="561" spans="1:14" x14ac:dyDescent="0.4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18">
        <v>472.2</v>
      </c>
    </row>
    <row r="562" spans="1:14" x14ac:dyDescent="0.4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18">
        <v>2355.4</v>
      </c>
    </row>
    <row r="563" spans="1:14" x14ac:dyDescent="0.4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18">
        <v>989.56</v>
      </c>
    </row>
    <row r="564" spans="1:14" x14ac:dyDescent="0.4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18">
        <v>1991.79</v>
      </c>
    </row>
    <row r="565" spans="1:14" x14ac:dyDescent="0.4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18">
        <v>132.68</v>
      </c>
    </row>
    <row r="566" spans="1:14" x14ac:dyDescent="0.4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18">
        <v>1821.4</v>
      </c>
    </row>
    <row r="567" spans="1:14" x14ac:dyDescent="0.4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18">
        <v>1539.9</v>
      </c>
    </row>
    <row r="568" spans="1:14" x14ac:dyDescent="0.4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18">
        <v>650.84</v>
      </c>
    </row>
    <row r="569" spans="1:14" x14ac:dyDescent="0.4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18">
        <v>2464.6999999999998</v>
      </c>
    </row>
    <row r="570" spans="1:14" x14ac:dyDescent="0.4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18">
        <v>687.98</v>
      </c>
    </row>
    <row r="571" spans="1:14" x14ac:dyDescent="0.4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18">
        <v>1253.4000000000001</v>
      </c>
    </row>
    <row r="572" spans="1:14" x14ac:dyDescent="0.4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18">
        <v>724.28</v>
      </c>
    </row>
    <row r="573" spans="1:14" x14ac:dyDescent="0.4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18">
        <v>214.08</v>
      </c>
    </row>
    <row r="574" spans="1:14" x14ac:dyDescent="0.4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18">
        <v>70.319999999999993</v>
      </c>
    </row>
    <row r="575" spans="1:14" x14ac:dyDescent="0.4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18">
        <v>2107.1</v>
      </c>
    </row>
    <row r="576" spans="1:14" x14ac:dyDescent="0.4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18">
        <v>1923.45</v>
      </c>
    </row>
    <row r="577" spans="1:14" x14ac:dyDescent="0.4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18">
        <v>2240.75</v>
      </c>
    </row>
    <row r="578" spans="1:14" x14ac:dyDescent="0.4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18">
        <v>395.4</v>
      </c>
    </row>
    <row r="579" spans="1:14" x14ac:dyDescent="0.4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18">
        <v>741.64</v>
      </c>
    </row>
    <row r="580" spans="1:14" x14ac:dyDescent="0.4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18">
        <v>2830.35</v>
      </c>
    </row>
    <row r="581" spans="1:14" x14ac:dyDescent="0.4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18">
        <v>375.76</v>
      </c>
    </row>
    <row r="582" spans="1:14" x14ac:dyDescent="0.4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18">
        <v>511.98</v>
      </c>
    </row>
    <row r="583" spans="1:14" x14ac:dyDescent="0.4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18">
        <v>627.34</v>
      </c>
    </row>
    <row r="584" spans="1:14" x14ac:dyDescent="0.4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18">
        <v>1422.42</v>
      </c>
    </row>
    <row r="585" spans="1:14" x14ac:dyDescent="0.4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18">
        <v>463.11</v>
      </c>
    </row>
    <row r="586" spans="1:14" x14ac:dyDescent="0.4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18">
        <v>580.20000000000005</v>
      </c>
    </row>
    <row r="587" spans="1:14" x14ac:dyDescent="0.4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18">
        <v>268.32</v>
      </c>
    </row>
    <row r="588" spans="1:14" x14ac:dyDescent="0.4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18">
        <v>522.08000000000004</v>
      </c>
    </row>
    <row r="589" spans="1:14" x14ac:dyDescent="0.4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18">
        <v>2573</v>
      </c>
    </row>
    <row r="590" spans="1:14" x14ac:dyDescent="0.4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18">
        <v>2311.2800000000002</v>
      </c>
    </row>
    <row r="591" spans="1:14" x14ac:dyDescent="0.4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18">
        <v>1001.6</v>
      </c>
    </row>
    <row r="592" spans="1:14" x14ac:dyDescent="0.4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18">
        <v>922.26</v>
      </c>
    </row>
    <row r="593" spans="1:14" x14ac:dyDescent="0.4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18">
        <v>605.28</v>
      </c>
    </row>
    <row r="594" spans="1:14" x14ac:dyDescent="0.4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18">
        <v>612.80999999999995</v>
      </c>
    </row>
    <row r="595" spans="1:14" x14ac:dyDescent="0.4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18">
        <v>489.8</v>
      </c>
    </row>
    <row r="596" spans="1:14" x14ac:dyDescent="0.4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18">
        <v>363.2</v>
      </c>
    </row>
    <row r="597" spans="1:14" x14ac:dyDescent="0.4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18">
        <v>770.32</v>
      </c>
    </row>
    <row r="598" spans="1:14" x14ac:dyDescent="0.4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18">
        <v>1819.23</v>
      </c>
    </row>
    <row r="599" spans="1:14" x14ac:dyDescent="0.4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18">
        <v>423.64</v>
      </c>
    </row>
    <row r="600" spans="1:14" x14ac:dyDescent="0.4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18">
        <v>2476.75</v>
      </c>
    </row>
    <row r="601" spans="1:14" x14ac:dyDescent="0.4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18">
        <v>1670.97</v>
      </c>
    </row>
    <row r="602" spans="1:14" x14ac:dyDescent="0.4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18">
        <v>72.31</v>
      </c>
    </row>
    <row r="603" spans="1:14" x14ac:dyDescent="0.4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18">
        <v>124.1</v>
      </c>
    </row>
    <row r="604" spans="1:14" x14ac:dyDescent="0.4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18">
        <v>104.16</v>
      </c>
    </row>
    <row r="605" spans="1:14" x14ac:dyDescent="0.4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18">
        <v>657.07</v>
      </c>
    </row>
    <row r="606" spans="1:14" x14ac:dyDescent="0.4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18">
        <v>97.86</v>
      </c>
    </row>
    <row r="607" spans="1:14" x14ac:dyDescent="0.4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18">
        <v>457.82</v>
      </c>
    </row>
    <row r="608" spans="1:14" x14ac:dyDescent="0.4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18">
        <v>824.25</v>
      </c>
    </row>
    <row r="609" spans="1:14" x14ac:dyDescent="0.4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18">
        <v>2536.1999999999998</v>
      </c>
    </row>
    <row r="610" spans="1:14" x14ac:dyDescent="0.4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18">
        <v>2715.8</v>
      </c>
    </row>
    <row r="611" spans="1:14" x14ac:dyDescent="0.4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18">
        <v>1347.39</v>
      </c>
    </row>
    <row r="612" spans="1:14" x14ac:dyDescent="0.4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18">
        <v>1948.1</v>
      </c>
    </row>
    <row r="613" spans="1:14" x14ac:dyDescent="0.4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18">
        <v>305.17</v>
      </c>
    </row>
    <row r="614" spans="1:14" x14ac:dyDescent="0.4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18">
        <v>1335.36</v>
      </c>
    </row>
    <row r="615" spans="1:14" x14ac:dyDescent="0.4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18">
        <v>460.72</v>
      </c>
    </row>
    <row r="616" spans="1:14" x14ac:dyDescent="0.4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18">
        <v>96.81</v>
      </c>
    </row>
    <row r="617" spans="1:14" x14ac:dyDescent="0.4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18">
        <v>2300.6999999999998</v>
      </c>
    </row>
    <row r="618" spans="1:14" x14ac:dyDescent="0.4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18">
        <v>1804.8</v>
      </c>
    </row>
    <row r="619" spans="1:14" x14ac:dyDescent="0.4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18">
        <v>553.41</v>
      </c>
    </row>
    <row r="620" spans="1:14" x14ac:dyDescent="0.4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18">
        <v>411.34</v>
      </c>
    </row>
    <row r="621" spans="1:14" x14ac:dyDescent="0.4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18">
        <v>532.89</v>
      </c>
    </row>
    <row r="622" spans="1:14" x14ac:dyDescent="0.4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18">
        <v>409.02</v>
      </c>
    </row>
    <row r="623" spans="1:14" x14ac:dyDescent="0.4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18">
        <v>2380.0500000000002</v>
      </c>
    </row>
    <row r="624" spans="1:14" x14ac:dyDescent="0.4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18">
        <v>1181.9000000000001</v>
      </c>
    </row>
    <row r="625" spans="1:14" x14ac:dyDescent="0.4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18">
        <v>1188</v>
      </c>
    </row>
    <row r="626" spans="1:14" x14ac:dyDescent="0.4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18">
        <v>1709.8</v>
      </c>
    </row>
    <row r="627" spans="1:14" x14ac:dyDescent="0.4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18">
        <v>672.89</v>
      </c>
    </row>
    <row r="628" spans="1:14" x14ac:dyDescent="0.4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18">
        <v>1314.96</v>
      </c>
    </row>
    <row r="629" spans="1:14" x14ac:dyDescent="0.4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18">
        <v>1496.04</v>
      </c>
    </row>
    <row r="630" spans="1:14" x14ac:dyDescent="0.4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18">
        <v>2793.15</v>
      </c>
    </row>
    <row r="631" spans="1:14" x14ac:dyDescent="0.4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18">
        <v>59.19</v>
      </c>
    </row>
    <row r="632" spans="1:14" x14ac:dyDescent="0.4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18">
        <v>1244.2</v>
      </c>
    </row>
    <row r="633" spans="1:14" x14ac:dyDescent="0.4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18">
        <v>138.33000000000001</v>
      </c>
    </row>
    <row r="634" spans="1:14" x14ac:dyDescent="0.4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18">
        <v>3390.8</v>
      </c>
    </row>
    <row r="635" spans="1:14" x14ac:dyDescent="0.4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18">
        <v>3008.6</v>
      </c>
    </row>
    <row r="636" spans="1:14" x14ac:dyDescent="0.4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18">
        <v>518.64</v>
      </c>
    </row>
    <row r="637" spans="1:14" x14ac:dyDescent="0.4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18">
        <v>191.04</v>
      </c>
    </row>
    <row r="638" spans="1:14" x14ac:dyDescent="0.4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18">
        <v>1484.28</v>
      </c>
    </row>
    <row r="639" spans="1:14" x14ac:dyDescent="0.4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18">
        <v>1225.4000000000001</v>
      </c>
    </row>
    <row r="640" spans="1:14" x14ac:dyDescent="0.4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18">
        <v>2313.08</v>
      </c>
    </row>
    <row r="641" spans="1:14" x14ac:dyDescent="0.4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18">
        <v>529.19000000000005</v>
      </c>
    </row>
    <row r="642" spans="1:14" x14ac:dyDescent="0.4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18">
        <v>1174.98</v>
      </c>
    </row>
    <row r="643" spans="1:14" x14ac:dyDescent="0.4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18">
        <v>2270.2800000000002</v>
      </c>
    </row>
    <row r="644" spans="1:14" x14ac:dyDescent="0.4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18">
        <v>426.1</v>
      </c>
    </row>
    <row r="645" spans="1:14" x14ac:dyDescent="0.4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18">
        <v>438.37</v>
      </c>
    </row>
    <row r="646" spans="1:14" x14ac:dyDescent="0.4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18">
        <v>732.46</v>
      </c>
    </row>
    <row r="647" spans="1:14" x14ac:dyDescent="0.4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18">
        <v>300.10000000000002</v>
      </c>
    </row>
    <row r="648" spans="1:14" x14ac:dyDescent="0.4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18">
        <v>1994.04</v>
      </c>
    </row>
    <row r="649" spans="1:14" x14ac:dyDescent="0.4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18">
        <v>1018.17</v>
      </c>
    </row>
    <row r="650" spans="1:14" x14ac:dyDescent="0.4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18">
        <v>1151.6600000000001</v>
      </c>
    </row>
    <row r="651" spans="1:14" x14ac:dyDescent="0.4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18">
        <v>1285.96</v>
      </c>
    </row>
    <row r="652" spans="1:14" x14ac:dyDescent="0.4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18">
        <v>744.46</v>
      </c>
    </row>
    <row r="653" spans="1:14" x14ac:dyDescent="0.4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18">
        <v>1939.02</v>
      </c>
    </row>
    <row r="654" spans="1:14" x14ac:dyDescent="0.4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18">
        <v>1709.2</v>
      </c>
    </row>
    <row r="655" spans="1:14" x14ac:dyDescent="0.4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18">
        <v>2070.9</v>
      </c>
    </row>
    <row r="656" spans="1:14" x14ac:dyDescent="0.4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18">
        <v>1147.1099999999999</v>
      </c>
    </row>
    <row r="657" spans="1:14" x14ac:dyDescent="0.4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18">
        <v>265.2</v>
      </c>
    </row>
    <row r="658" spans="1:14" x14ac:dyDescent="0.4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18">
        <v>378.12</v>
      </c>
    </row>
    <row r="659" spans="1:14" x14ac:dyDescent="0.4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18">
        <v>351.16</v>
      </c>
    </row>
    <row r="660" spans="1:14" x14ac:dyDescent="0.4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18">
        <v>92.72</v>
      </c>
    </row>
    <row r="661" spans="1:14" x14ac:dyDescent="0.4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18">
        <v>1284.08</v>
      </c>
    </row>
    <row r="662" spans="1:14" x14ac:dyDescent="0.4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18">
        <v>1303.1400000000001</v>
      </c>
    </row>
    <row r="663" spans="1:14" x14ac:dyDescent="0.4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18">
        <v>1274.67</v>
      </c>
    </row>
    <row r="664" spans="1:14" x14ac:dyDescent="0.4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18">
        <v>1316.67</v>
      </c>
    </row>
    <row r="665" spans="1:14" x14ac:dyDescent="0.4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18">
        <v>72.599999999999994</v>
      </c>
    </row>
    <row r="666" spans="1:14" x14ac:dyDescent="0.4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18">
        <v>779</v>
      </c>
    </row>
    <row r="667" spans="1:14" x14ac:dyDescent="0.4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18">
        <v>925.04</v>
      </c>
    </row>
    <row r="668" spans="1:14" x14ac:dyDescent="0.4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18">
        <v>1308.48</v>
      </c>
    </row>
    <row r="669" spans="1:14" x14ac:dyDescent="0.4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18">
        <v>466.42</v>
      </c>
    </row>
    <row r="670" spans="1:14" x14ac:dyDescent="0.4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18">
        <v>507.34</v>
      </c>
    </row>
    <row r="671" spans="1:14" x14ac:dyDescent="0.4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18">
        <v>257</v>
      </c>
    </row>
    <row r="672" spans="1:14" x14ac:dyDescent="0.4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18">
        <v>2156.8000000000002</v>
      </c>
    </row>
    <row r="673" spans="1:14" x14ac:dyDescent="0.4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18">
        <v>253.7</v>
      </c>
    </row>
    <row r="674" spans="1:14" x14ac:dyDescent="0.4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18">
        <v>1248.32</v>
      </c>
    </row>
    <row r="675" spans="1:14" x14ac:dyDescent="0.4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18">
        <v>745.84</v>
      </c>
    </row>
    <row r="676" spans="1:14" x14ac:dyDescent="0.4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18">
        <v>1435</v>
      </c>
    </row>
    <row r="677" spans="1:14" x14ac:dyDescent="0.4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18">
        <v>1026.06</v>
      </c>
    </row>
    <row r="678" spans="1:14" x14ac:dyDescent="0.4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18">
        <v>844.68</v>
      </c>
    </row>
    <row r="679" spans="1:14" x14ac:dyDescent="0.4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18">
        <v>110.35</v>
      </c>
    </row>
    <row r="680" spans="1:14" x14ac:dyDescent="0.4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18">
        <v>489.39</v>
      </c>
    </row>
    <row r="681" spans="1:14" x14ac:dyDescent="0.4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18">
        <v>1081.98</v>
      </c>
    </row>
    <row r="682" spans="1:14" x14ac:dyDescent="0.4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18">
        <v>1390.17</v>
      </c>
    </row>
    <row r="683" spans="1:14" x14ac:dyDescent="0.4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18">
        <v>155.27000000000001</v>
      </c>
    </row>
    <row r="684" spans="1:14" x14ac:dyDescent="0.4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18">
        <v>1528.26</v>
      </c>
    </row>
    <row r="685" spans="1:14" x14ac:dyDescent="0.4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18">
        <v>2609.92</v>
      </c>
    </row>
    <row r="686" spans="1:14" x14ac:dyDescent="0.4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18">
        <v>139.36000000000001</v>
      </c>
    </row>
    <row r="687" spans="1:14" x14ac:dyDescent="0.4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18">
        <v>234.37</v>
      </c>
    </row>
    <row r="688" spans="1:14" x14ac:dyDescent="0.4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18">
        <v>160.80000000000001</v>
      </c>
    </row>
    <row r="689" spans="1:14" x14ac:dyDescent="0.4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18">
        <v>332.09</v>
      </c>
    </row>
    <row r="690" spans="1:14" x14ac:dyDescent="0.4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18">
        <v>2372.88</v>
      </c>
    </row>
    <row r="691" spans="1:14" x14ac:dyDescent="0.4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18">
        <v>889.68</v>
      </c>
    </row>
    <row r="692" spans="1:14" x14ac:dyDescent="0.4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18">
        <v>24.48</v>
      </c>
    </row>
    <row r="693" spans="1:14" x14ac:dyDescent="0.4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18">
        <v>717.24</v>
      </c>
    </row>
    <row r="694" spans="1:14" x14ac:dyDescent="0.4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18">
        <v>984.2</v>
      </c>
    </row>
    <row r="695" spans="1:14" x14ac:dyDescent="0.4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18">
        <v>176.58</v>
      </c>
    </row>
    <row r="696" spans="1:14" x14ac:dyDescent="0.4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18">
        <v>2666.08</v>
      </c>
    </row>
    <row r="697" spans="1:14" x14ac:dyDescent="0.4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18">
        <v>506.5</v>
      </c>
    </row>
    <row r="698" spans="1:14" x14ac:dyDescent="0.4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18">
        <v>604.79999999999995</v>
      </c>
    </row>
    <row r="699" spans="1:14" x14ac:dyDescent="0.4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18">
        <v>474.25</v>
      </c>
    </row>
    <row r="700" spans="1:14" x14ac:dyDescent="0.4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18">
        <v>776.44</v>
      </c>
    </row>
    <row r="701" spans="1:14" x14ac:dyDescent="0.4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18">
        <v>1842.45</v>
      </c>
    </row>
    <row r="702" spans="1:14" x14ac:dyDescent="0.4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18">
        <v>185.82</v>
      </c>
    </row>
    <row r="703" spans="1:14" x14ac:dyDescent="0.4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18">
        <v>276.66000000000003</v>
      </c>
    </row>
    <row r="704" spans="1:14" x14ac:dyDescent="0.4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18">
        <v>1687.65</v>
      </c>
    </row>
    <row r="705" spans="1:14" x14ac:dyDescent="0.4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18">
        <v>92.79</v>
      </c>
    </row>
    <row r="706" spans="1:14" x14ac:dyDescent="0.4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18">
        <v>121.08</v>
      </c>
    </row>
    <row r="707" spans="1:14" x14ac:dyDescent="0.4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18">
        <v>98.16</v>
      </c>
    </row>
    <row r="708" spans="1:14" x14ac:dyDescent="0.4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18">
        <v>1140.45</v>
      </c>
    </row>
    <row r="709" spans="1:14" x14ac:dyDescent="0.4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18">
        <v>2600.16</v>
      </c>
    </row>
    <row r="710" spans="1:14" x14ac:dyDescent="0.4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18">
        <v>665.11</v>
      </c>
    </row>
    <row r="711" spans="1:14" x14ac:dyDescent="0.4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18">
        <v>386.03</v>
      </c>
    </row>
    <row r="712" spans="1:14" x14ac:dyDescent="0.4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18">
        <v>107.7</v>
      </c>
    </row>
    <row r="713" spans="1:14" x14ac:dyDescent="0.4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18">
        <v>951.56</v>
      </c>
    </row>
    <row r="714" spans="1:14" x14ac:dyDescent="0.4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18">
        <v>136.80000000000001</v>
      </c>
    </row>
    <row r="715" spans="1:14" x14ac:dyDescent="0.4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18">
        <v>2129.96</v>
      </c>
    </row>
    <row r="716" spans="1:14" x14ac:dyDescent="0.4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18">
        <v>51.73</v>
      </c>
    </row>
    <row r="717" spans="1:14" x14ac:dyDescent="0.4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18">
        <v>1960.89</v>
      </c>
    </row>
    <row r="718" spans="1:14" x14ac:dyDescent="0.4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18">
        <v>1362.87</v>
      </c>
    </row>
    <row r="719" spans="1:14" x14ac:dyDescent="0.4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18">
        <v>366.33</v>
      </c>
    </row>
    <row r="720" spans="1:14" x14ac:dyDescent="0.4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18">
        <v>258.95999999999998</v>
      </c>
    </row>
    <row r="721" spans="1:14" x14ac:dyDescent="0.4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18">
        <v>1362.12</v>
      </c>
    </row>
    <row r="722" spans="1:14" x14ac:dyDescent="0.4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18">
        <v>644.75</v>
      </c>
    </row>
    <row r="723" spans="1:14" x14ac:dyDescent="0.4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18">
        <v>237.18</v>
      </c>
    </row>
    <row r="724" spans="1:14" x14ac:dyDescent="0.4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18">
        <v>95.1</v>
      </c>
    </row>
    <row r="725" spans="1:14" x14ac:dyDescent="0.4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18">
        <v>164.85</v>
      </c>
    </row>
    <row r="726" spans="1:14" x14ac:dyDescent="0.4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18">
        <v>410.91</v>
      </c>
    </row>
    <row r="727" spans="1:14" x14ac:dyDescent="0.4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18">
        <v>389.7</v>
      </c>
    </row>
    <row r="728" spans="1:14" x14ac:dyDescent="0.4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18">
        <v>2332.08</v>
      </c>
    </row>
    <row r="729" spans="1:14" x14ac:dyDescent="0.4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18">
        <v>478.75</v>
      </c>
    </row>
    <row r="730" spans="1:14" x14ac:dyDescent="0.4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18">
        <v>1303.04</v>
      </c>
    </row>
    <row r="731" spans="1:14" x14ac:dyDescent="0.4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18">
        <v>745.64</v>
      </c>
    </row>
    <row r="732" spans="1:14" x14ac:dyDescent="0.4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18">
        <v>474.6</v>
      </c>
    </row>
    <row r="733" spans="1:14" x14ac:dyDescent="0.4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18">
        <v>2922.3</v>
      </c>
    </row>
    <row r="734" spans="1:14" x14ac:dyDescent="0.4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18">
        <v>132.05000000000001</v>
      </c>
    </row>
    <row r="735" spans="1:14" x14ac:dyDescent="0.4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18">
        <v>1979.36</v>
      </c>
    </row>
    <row r="736" spans="1:14" x14ac:dyDescent="0.4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18">
        <v>898.44</v>
      </c>
    </row>
    <row r="737" spans="1:14" x14ac:dyDescent="0.4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18">
        <v>176.28</v>
      </c>
    </row>
    <row r="738" spans="1:14" x14ac:dyDescent="0.4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18">
        <v>2092.65</v>
      </c>
    </row>
    <row r="739" spans="1:14" x14ac:dyDescent="0.4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18">
        <v>2131.48</v>
      </c>
    </row>
    <row r="740" spans="1:14" x14ac:dyDescent="0.4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18">
        <v>970.74</v>
      </c>
    </row>
    <row r="741" spans="1:14" x14ac:dyDescent="0.4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18">
        <v>1546.92</v>
      </c>
    </row>
    <row r="742" spans="1:14" x14ac:dyDescent="0.4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18">
        <v>754.94</v>
      </c>
    </row>
    <row r="743" spans="1:14" x14ac:dyDescent="0.4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18">
        <v>1663.2</v>
      </c>
    </row>
    <row r="744" spans="1:14" x14ac:dyDescent="0.4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18">
        <v>2099.79</v>
      </c>
    </row>
    <row r="745" spans="1:14" x14ac:dyDescent="0.4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18">
        <v>576.35</v>
      </c>
    </row>
    <row r="746" spans="1:14" x14ac:dyDescent="0.4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18">
        <v>922.74</v>
      </c>
    </row>
    <row r="747" spans="1:14" x14ac:dyDescent="0.4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18">
        <v>445.2</v>
      </c>
    </row>
    <row r="748" spans="1:14" x14ac:dyDescent="0.4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18">
        <v>1985.67</v>
      </c>
    </row>
    <row r="749" spans="1:14" x14ac:dyDescent="0.4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18">
        <v>519.16</v>
      </c>
    </row>
    <row r="750" spans="1:14" x14ac:dyDescent="0.4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18">
        <v>212.43</v>
      </c>
    </row>
    <row r="751" spans="1:14" x14ac:dyDescent="0.4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18">
        <v>518.39</v>
      </c>
    </row>
    <row r="752" spans="1:14" x14ac:dyDescent="0.4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18">
        <v>581.64</v>
      </c>
    </row>
    <row r="753" spans="1:14" x14ac:dyDescent="0.4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18">
        <v>1199.72</v>
      </c>
    </row>
    <row r="754" spans="1:14" x14ac:dyDescent="0.4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18">
        <v>1717.48</v>
      </c>
    </row>
    <row r="755" spans="1:14" x14ac:dyDescent="0.4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18">
        <v>482.98</v>
      </c>
    </row>
    <row r="756" spans="1:14" x14ac:dyDescent="0.4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18">
        <v>904.1</v>
      </c>
    </row>
    <row r="757" spans="1:14" x14ac:dyDescent="0.4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18">
        <v>1010.13</v>
      </c>
    </row>
    <row r="758" spans="1:14" x14ac:dyDescent="0.4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18">
        <v>283.69</v>
      </c>
    </row>
    <row r="759" spans="1:14" x14ac:dyDescent="0.4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18">
        <v>157.72</v>
      </c>
    </row>
    <row r="760" spans="1:14" x14ac:dyDescent="0.4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18">
        <v>1874.52</v>
      </c>
    </row>
    <row r="761" spans="1:14" x14ac:dyDescent="0.4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18">
        <v>924.03</v>
      </c>
    </row>
    <row r="762" spans="1:14" x14ac:dyDescent="0.4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18">
        <v>39.56</v>
      </c>
    </row>
    <row r="763" spans="1:14" x14ac:dyDescent="0.4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18">
        <v>151.04</v>
      </c>
    </row>
    <row r="764" spans="1:14" x14ac:dyDescent="0.4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18">
        <v>230.88</v>
      </c>
    </row>
    <row r="765" spans="1:14" x14ac:dyDescent="0.4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18">
        <v>569.96</v>
      </c>
    </row>
    <row r="766" spans="1:14" x14ac:dyDescent="0.4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18">
        <v>3137.15</v>
      </c>
    </row>
    <row r="767" spans="1:14" x14ac:dyDescent="0.4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18">
        <v>1069.82</v>
      </c>
    </row>
    <row r="768" spans="1:14" x14ac:dyDescent="0.4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18">
        <v>557.76</v>
      </c>
    </row>
    <row r="769" spans="1:14" x14ac:dyDescent="0.4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18">
        <v>646.44000000000005</v>
      </c>
    </row>
    <row r="770" spans="1:14" x14ac:dyDescent="0.4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18">
        <v>3267.3</v>
      </c>
    </row>
    <row r="771" spans="1:14" x14ac:dyDescent="0.4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18">
        <v>2714.2</v>
      </c>
    </row>
    <row r="772" spans="1:14" x14ac:dyDescent="0.4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18">
        <v>314.38</v>
      </c>
    </row>
    <row r="773" spans="1:14" x14ac:dyDescent="0.4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18">
        <v>2077.3200000000002</v>
      </c>
    </row>
    <row r="774" spans="1:14" x14ac:dyDescent="0.4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18">
        <v>604.87</v>
      </c>
    </row>
    <row r="775" spans="1:14" x14ac:dyDescent="0.4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18">
        <v>1024.6600000000001</v>
      </c>
    </row>
    <row r="776" spans="1:14" x14ac:dyDescent="0.4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18">
        <v>61.62</v>
      </c>
    </row>
    <row r="777" spans="1:14" x14ac:dyDescent="0.4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18">
        <v>1250.44</v>
      </c>
    </row>
    <row r="778" spans="1:14" x14ac:dyDescent="0.4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18">
        <v>21.19</v>
      </c>
    </row>
    <row r="779" spans="1:14" x14ac:dyDescent="0.4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18">
        <v>322.45</v>
      </c>
    </row>
    <row r="780" spans="1:14" x14ac:dyDescent="0.4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18">
        <v>987.4</v>
      </c>
    </row>
    <row r="781" spans="1:14" x14ac:dyDescent="0.4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18">
        <v>1766.22</v>
      </c>
    </row>
    <row r="782" spans="1:14" x14ac:dyDescent="0.4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18">
        <v>737.92</v>
      </c>
    </row>
    <row r="783" spans="1:14" x14ac:dyDescent="0.4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18">
        <v>2621.3000000000002</v>
      </c>
    </row>
    <row r="784" spans="1:14" x14ac:dyDescent="0.4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18">
        <v>987.26</v>
      </c>
    </row>
    <row r="785" spans="1:14" x14ac:dyDescent="0.4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18">
        <v>438.34</v>
      </c>
    </row>
    <row r="786" spans="1:14" x14ac:dyDescent="0.4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18">
        <v>325.81</v>
      </c>
    </row>
    <row r="787" spans="1:14" x14ac:dyDescent="0.4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18">
        <v>176.1</v>
      </c>
    </row>
    <row r="788" spans="1:14" x14ac:dyDescent="0.4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18">
        <v>226.55</v>
      </c>
    </row>
    <row r="789" spans="1:14" x14ac:dyDescent="0.4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18">
        <v>887.84</v>
      </c>
    </row>
    <row r="790" spans="1:14" x14ac:dyDescent="0.4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18">
        <v>1202.8599999999999</v>
      </c>
    </row>
    <row r="791" spans="1:14" x14ac:dyDescent="0.4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18">
        <v>3456.4</v>
      </c>
    </row>
    <row r="792" spans="1:14" x14ac:dyDescent="0.4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18">
        <v>1671.56</v>
      </c>
    </row>
    <row r="793" spans="1:14" x14ac:dyDescent="0.4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18">
        <v>1637.12</v>
      </c>
    </row>
    <row r="794" spans="1:14" x14ac:dyDescent="0.4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18">
        <v>712.7</v>
      </c>
    </row>
    <row r="795" spans="1:14" x14ac:dyDescent="0.4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18">
        <v>851.1</v>
      </c>
    </row>
    <row r="796" spans="1:14" x14ac:dyDescent="0.4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18">
        <v>1539.4</v>
      </c>
    </row>
    <row r="797" spans="1:14" x14ac:dyDescent="0.4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18">
        <v>463.08</v>
      </c>
    </row>
    <row r="798" spans="1:14" x14ac:dyDescent="0.4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18">
        <v>1738.65</v>
      </c>
    </row>
    <row r="799" spans="1:14" x14ac:dyDescent="0.4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18">
        <v>877.52</v>
      </c>
    </row>
    <row r="800" spans="1:14" x14ac:dyDescent="0.4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18">
        <v>2441.75</v>
      </c>
    </row>
    <row r="801" spans="1:14" x14ac:dyDescent="0.4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18">
        <v>1314.24</v>
      </c>
    </row>
    <row r="802" spans="1:14" x14ac:dyDescent="0.4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18">
        <v>68.39</v>
      </c>
    </row>
    <row r="803" spans="1:14" x14ac:dyDescent="0.4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18">
        <v>2382.48</v>
      </c>
    </row>
    <row r="804" spans="1:14" x14ac:dyDescent="0.4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18">
        <v>3223.2</v>
      </c>
    </row>
    <row r="805" spans="1:14" x14ac:dyDescent="0.4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18">
        <v>1989.05</v>
      </c>
    </row>
    <row r="806" spans="1:14" x14ac:dyDescent="0.4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18">
        <v>709.5</v>
      </c>
    </row>
    <row r="807" spans="1:14" x14ac:dyDescent="0.4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18">
        <v>2360.0500000000002</v>
      </c>
    </row>
    <row r="808" spans="1:14" x14ac:dyDescent="0.4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18">
        <v>1268.75</v>
      </c>
    </row>
    <row r="809" spans="1:14" x14ac:dyDescent="0.4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18">
        <v>2028.63</v>
      </c>
    </row>
    <row r="810" spans="1:14" x14ac:dyDescent="0.4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18">
        <v>402.15</v>
      </c>
    </row>
    <row r="811" spans="1:14" x14ac:dyDescent="0.4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18">
        <v>1087.1500000000001</v>
      </c>
    </row>
    <row r="812" spans="1:14" x14ac:dyDescent="0.4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18">
        <v>553.55999999999995</v>
      </c>
    </row>
    <row r="813" spans="1:14" x14ac:dyDescent="0.4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18">
        <v>57.1</v>
      </c>
    </row>
    <row r="814" spans="1:14" x14ac:dyDescent="0.4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18">
        <v>510.52</v>
      </c>
    </row>
    <row r="815" spans="1:14" x14ac:dyDescent="0.4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18">
        <v>1462.7</v>
      </c>
    </row>
    <row r="816" spans="1:14" x14ac:dyDescent="0.4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18">
        <v>590.04</v>
      </c>
    </row>
    <row r="817" spans="1:14" x14ac:dyDescent="0.4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18">
        <v>1709.52</v>
      </c>
    </row>
    <row r="818" spans="1:14" x14ac:dyDescent="0.4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18">
        <v>2873.95</v>
      </c>
    </row>
    <row r="819" spans="1:14" x14ac:dyDescent="0.4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18">
        <v>2392.7600000000002</v>
      </c>
    </row>
    <row r="820" spans="1:14" x14ac:dyDescent="0.4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18">
        <v>1563.36</v>
      </c>
    </row>
    <row r="821" spans="1:14" x14ac:dyDescent="0.4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18">
        <v>796.9</v>
      </c>
    </row>
    <row r="822" spans="1:14" x14ac:dyDescent="0.4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18">
        <v>3119.05</v>
      </c>
    </row>
    <row r="823" spans="1:14" x14ac:dyDescent="0.4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18">
        <v>697.96</v>
      </c>
    </row>
    <row r="824" spans="1:14" x14ac:dyDescent="0.4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18">
        <v>479.56</v>
      </c>
    </row>
    <row r="825" spans="1:14" x14ac:dyDescent="0.4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18">
        <v>2612.52</v>
      </c>
    </row>
    <row r="826" spans="1:14" x14ac:dyDescent="0.4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18">
        <v>1443.3</v>
      </c>
    </row>
    <row r="827" spans="1:14" x14ac:dyDescent="0.4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18">
        <v>1358.45</v>
      </c>
    </row>
    <row r="828" spans="1:14" x14ac:dyDescent="0.4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18">
        <v>1391.43</v>
      </c>
    </row>
    <row r="829" spans="1:14" x14ac:dyDescent="0.4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18">
        <v>1279.76</v>
      </c>
    </row>
    <row r="830" spans="1:14" x14ac:dyDescent="0.4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18">
        <v>1618.32</v>
      </c>
    </row>
    <row r="831" spans="1:14" x14ac:dyDescent="0.4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18">
        <v>76.930000000000007</v>
      </c>
    </row>
    <row r="832" spans="1:14" x14ac:dyDescent="0.4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18">
        <v>762.56</v>
      </c>
    </row>
    <row r="833" spans="1:14" x14ac:dyDescent="0.4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18">
        <v>177.46</v>
      </c>
    </row>
    <row r="834" spans="1:14" x14ac:dyDescent="0.4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18">
        <v>2428.5500000000002</v>
      </c>
    </row>
    <row r="835" spans="1:14" x14ac:dyDescent="0.4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18">
        <v>391.45</v>
      </c>
    </row>
    <row r="836" spans="1:14" x14ac:dyDescent="0.4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18">
        <v>110.7</v>
      </c>
    </row>
    <row r="837" spans="1:14" x14ac:dyDescent="0.4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18">
        <v>679.65</v>
      </c>
    </row>
    <row r="838" spans="1:14" x14ac:dyDescent="0.4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18">
        <v>178.44</v>
      </c>
    </row>
    <row r="839" spans="1:14" x14ac:dyDescent="0.4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18">
        <v>3277.75</v>
      </c>
    </row>
    <row r="840" spans="1:14" x14ac:dyDescent="0.4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18">
        <v>2308.3200000000002</v>
      </c>
    </row>
    <row r="841" spans="1:14" x14ac:dyDescent="0.4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18">
        <v>593.91</v>
      </c>
    </row>
    <row r="842" spans="1:14" x14ac:dyDescent="0.4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18">
        <v>1235.8499999999999</v>
      </c>
    </row>
    <row r="843" spans="1:14" x14ac:dyDescent="0.4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18">
        <v>886.44</v>
      </c>
    </row>
    <row r="844" spans="1:14" x14ac:dyDescent="0.4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18">
        <v>1092.42</v>
      </c>
    </row>
    <row r="845" spans="1:14" x14ac:dyDescent="0.4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18">
        <v>1290.18</v>
      </c>
    </row>
    <row r="846" spans="1:14" x14ac:dyDescent="0.4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18">
        <v>320.92</v>
      </c>
    </row>
    <row r="847" spans="1:14" x14ac:dyDescent="0.4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18">
        <v>322.08</v>
      </c>
    </row>
    <row r="848" spans="1:14" x14ac:dyDescent="0.4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18">
        <v>719.72</v>
      </c>
    </row>
    <row r="849" spans="1:14" x14ac:dyDescent="0.4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18">
        <v>1736.92</v>
      </c>
    </row>
    <row r="850" spans="1:14" x14ac:dyDescent="0.4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18">
        <v>1291.7</v>
      </c>
    </row>
    <row r="851" spans="1:14" x14ac:dyDescent="0.4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18">
        <v>857.4</v>
      </c>
    </row>
    <row r="852" spans="1:14" x14ac:dyDescent="0.4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18">
        <v>1915.5</v>
      </c>
    </row>
    <row r="853" spans="1:14" x14ac:dyDescent="0.4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18">
        <v>365.57</v>
      </c>
    </row>
    <row r="854" spans="1:14" x14ac:dyDescent="0.4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18">
        <v>1704.15</v>
      </c>
    </row>
    <row r="855" spans="1:14" x14ac:dyDescent="0.4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18">
        <v>1470.03</v>
      </c>
    </row>
    <row r="856" spans="1:14" x14ac:dyDescent="0.4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18">
        <v>1117.8</v>
      </c>
    </row>
    <row r="857" spans="1:14" x14ac:dyDescent="0.4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18">
        <v>1203.05</v>
      </c>
    </row>
    <row r="858" spans="1:14" x14ac:dyDescent="0.4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18">
        <v>586.62</v>
      </c>
    </row>
    <row r="859" spans="1:14" x14ac:dyDescent="0.4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18">
        <v>773.52</v>
      </c>
    </row>
    <row r="860" spans="1:14" x14ac:dyDescent="0.4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18">
        <v>2178.3000000000002</v>
      </c>
    </row>
    <row r="861" spans="1:14" x14ac:dyDescent="0.4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18">
        <v>1306.6500000000001</v>
      </c>
    </row>
    <row r="862" spans="1:14" x14ac:dyDescent="0.4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18">
        <v>422.54</v>
      </c>
    </row>
    <row r="863" spans="1:14" x14ac:dyDescent="0.4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18">
        <v>1652.25</v>
      </c>
    </row>
    <row r="864" spans="1:14" x14ac:dyDescent="0.4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18">
        <v>362.46</v>
      </c>
    </row>
    <row r="865" spans="1:14" x14ac:dyDescent="0.4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18">
        <v>14.06</v>
      </c>
    </row>
    <row r="866" spans="1:14" x14ac:dyDescent="0.4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18">
        <v>491.11</v>
      </c>
    </row>
    <row r="867" spans="1:14" x14ac:dyDescent="0.4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18">
        <v>2709.48</v>
      </c>
    </row>
    <row r="868" spans="1:14" x14ac:dyDescent="0.4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18">
        <v>946.25</v>
      </c>
    </row>
    <row r="869" spans="1:14" x14ac:dyDescent="0.4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18">
        <v>570.32000000000005</v>
      </c>
    </row>
    <row r="870" spans="1:14" x14ac:dyDescent="0.4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18">
        <v>1265.28</v>
      </c>
    </row>
    <row r="871" spans="1:14" x14ac:dyDescent="0.4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18">
        <v>1067.9000000000001</v>
      </c>
    </row>
    <row r="872" spans="1:14" x14ac:dyDescent="0.4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18">
        <v>1880.36</v>
      </c>
    </row>
    <row r="873" spans="1:14" x14ac:dyDescent="0.4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18">
        <v>972.9</v>
      </c>
    </row>
    <row r="874" spans="1:14" x14ac:dyDescent="0.4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18">
        <v>2517.36</v>
      </c>
    </row>
    <row r="875" spans="1:14" x14ac:dyDescent="0.4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18">
        <v>410.52</v>
      </c>
    </row>
    <row r="876" spans="1:14" x14ac:dyDescent="0.4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18">
        <v>977.8</v>
      </c>
    </row>
    <row r="877" spans="1:14" x14ac:dyDescent="0.4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18">
        <v>666.95</v>
      </c>
    </row>
    <row r="878" spans="1:14" x14ac:dyDescent="0.4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18">
        <v>3044.55</v>
      </c>
    </row>
    <row r="879" spans="1:14" x14ac:dyDescent="0.4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18">
        <v>524.05999999999995</v>
      </c>
    </row>
    <row r="880" spans="1:14" x14ac:dyDescent="0.4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18">
        <v>661.38</v>
      </c>
    </row>
    <row r="881" spans="1:14" x14ac:dyDescent="0.4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18">
        <v>1095.3399999999999</v>
      </c>
    </row>
    <row r="882" spans="1:14" x14ac:dyDescent="0.4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18">
        <v>934.8</v>
      </c>
    </row>
    <row r="883" spans="1:14" x14ac:dyDescent="0.4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18">
        <v>897.7</v>
      </c>
    </row>
    <row r="884" spans="1:14" x14ac:dyDescent="0.4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18">
        <v>548.24</v>
      </c>
    </row>
    <row r="885" spans="1:14" x14ac:dyDescent="0.4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18">
        <v>2807.4</v>
      </c>
    </row>
    <row r="886" spans="1:14" x14ac:dyDescent="0.4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18">
        <v>595.54</v>
      </c>
    </row>
    <row r="887" spans="1:14" x14ac:dyDescent="0.4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18">
        <v>2062.36</v>
      </c>
    </row>
    <row r="888" spans="1:14" x14ac:dyDescent="0.4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18">
        <v>460.13</v>
      </c>
    </row>
    <row r="889" spans="1:14" x14ac:dyDescent="0.4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18">
        <v>514.98</v>
      </c>
    </row>
    <row r="890" spans="1:14" x14ac:dyDescent="0.4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18">
        <v>533.9</v>
      </c>
    </row>
    <row r="891" spans="1:14" x14ac:dyDescent="0.4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18">
        <v>3253.6</v>
      </c>
    </row>
    <row r="892" spans="1:14" x14ac:dyDescent="0.4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18">
        <v>1318.59</v>
      </c>
    </row>
    <row r="893" spans="1:14" x14ac:dyDescent="0.4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18">
        <v>1963.62</v>
      </c>
    </row>
    <row r="894" spans="1:14" x14ac:dyDescent="0.4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18">
        <v>394.53</v>
      </c>
    </row>
    <row r="895" spans="1:14" x14ac:dyDescent="0.4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18">
        <v>678.01</v>
      </c>
    </row>
    <row r="896" spans="1:14" x14ac:dyDescent="0.4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18">
        <v>1725.03</v>
      </c>
    </row>
    <row r="897" spans="1:14" x14ac:dyDescent="0.4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18">
        <v>463.92</v>
      </c>
    </row>
    <row r="898" spans="1:14" x14ac:dyDescent="0.4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18">
        <v>441.87</v>
      </c>
    </row>
    <row r="899" spans="1:14" x14ac:dyDescent="0.4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18">
        <v>1925.92</v>
      </c>
    </row>
    <row r="900" spans="1:14" x14ac:dyDescent="0.4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18">
        <v>475.11</v>
      </c>
    </row>
    <row r="901" spans="1:14" x14ac:dyDescent="0.4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18">
        <v>646.74</v>
      </c>
    </row>
    <row r="902" spans="1:14" x14ac:dyDescent="0.4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18">
        <v>369.15</v>
      </c>
    </row>
    <row r="903" spans="1:14" x14ac:dyDescent="0.4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18">
        <v>458.63</v>
      </c>
    </row>
    <row r="904" spans="1:14" x14ac:dyDescent="0.4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18">
        <v>721</v>
      </c>
    </row>
    <row r="905" spans="1:14" x14ac:dyDescent="0.4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18">
        <v>1420.47</v>
      </c>
    </row>
    <row r="906" spans="1:14" x14ac:dyDescent="0.4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18">
        <v>949.72</v>
      </c>
    </row>
    <row r="907" spans="1:14" x14ac:dyDescent="0.4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18">
        <v>442.39</v>
      </c>
    </row>
    <row r="908" spans="1:14" x14ac:dyDescent="0.4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18">
        <v>62.12</v>
      </c>
    </row>
    <row r="909" spans="1:14" x14ac:dyDescent="0.4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18">
        <v>1491.95</v>
      </c>
    </row>
    <row r="910" spans="1:14" x14ac:dyDescent="0.4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18">
        <v>1395.86</v>
      </c>
    </row>
    <row r="911" spans="1:14" x14ac:dyDescent="0.4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18">
        <v>583.70000000000005</v>
      </c>
    </row>
    <row r="912" spans="1:14" x14ac:dyDescent="0.4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18">
        <v>926.94</v>
      </c>
    </row>
    <row r="913" spans="1:14" x14ac:dyDescent="0.4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18">
        <v>1984.3</v>
      </c>
    </row>
    <row r="914" spans="1:14" x14ac:dyDescent="0.4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18">
        <v>279.38</v>
      </c>
    </row>
    <row r="915" spans="1:14" x14ac:dyDescent="0.4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18">
        <v>2379.75</v>
      </c>
    </row>
    <row r="916" spans="1:14" x14ac:dyDescent="0.4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18">
        <v>626.6</v>
      </c>
    </row>
    <row r="917" spans="1:14" x14ac:dyDescent="0.4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18">
        <v>2011.96</v>
      </c>
    </row>
    <row r="918" spans="1:14" x14ac:dyDescent="0.4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18">
        <v>2894.15</v>
      </c>
    </row>
    <row r="919" spans="1:14" x14ac:dyDescent="0.4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18">
        <v>1919.1</v>
      </c>
    </row>
    <row r="920" spans="1:14" x14ac:dyDescent="0.4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18">
        <v>1841.25</v>
      </c>
    </row>
    <row r="921" spans="1:14" x14ac:dyDescent="0.4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18">
        <v>749.2</v>
      </c>
    </row>
    <row r="922" spans="1:14" x14ac:dyDescent="0.4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18">
        <v>856.18</v>
      </c>
    </row>
    <row r="923" spans="1:14" x14ac:dyDescent="0.4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18">
        <v>438.93</v>
      </c>
    </row>
    <row r="924" spans="1:14" x14ac:dyDescent="0.4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18">
        <v>1127.6400000000001</v>
      </c>
    </row>
    <row r="925" spans="1:14" x14ac:dyDescent="0.4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18">
        <v>1949.79</v>
      </c>
    </row>
    <row r="926" spans="1:14" x14ac:dyDescent="0.4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18">
        <v>1342.15</v>
      </c>
    </row>
    <row r="927" spans="1:14" x14ac:dyDescent="0.4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18">
        <v>2512.35</v>
      </c>
    </row>
    <row r="928" spans="1:14" x14ac:dyDescent="0.4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18">
        <v>26.95</v>
      </c>
    </row>
    <row r="929" spans="1:14" x14ac:dyDescent="0.4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18">
        <v>258.76</v>
      </c>
    </row>
    <row r="930" spans="1:14" x14ac:dyDescent="0.4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18">
        <v>741.33</v>
      </c>
    </row>
    <row r="931" spans="1:14" x14ac:dyDescent="0.4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18">
        <v>1072.5</v>
      </c>
    </row>
    <row r="932" spans="1:14" x14ac:dyDescent="0.4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18">
        <v>912.08</v>
      </c>
    </row>
    <row r="933" spans="1:14" x14ac:dyDescent="0.4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18">
        <v>80.459999999999994</v>
      </c>
    </row>
    <row r="934" spans="1:14" x14ac:dyDescent="0.4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18">
        <v>144.78</v>
      </c>
    </row>
    <row r="935" spans="1:14" x14ac:dyDescent="0.4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18">
        <v>788.32</v>
      </c>
    </row>
    <row r="936" spans="1:14" x14ac:dyDescent="0.4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18">
        <v>479.36</v>
      </c>
    </row>
    <row r="937" spans="1:14" x14ac:dyDescent="0.4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18">
        <v>2078.13</v>
      </c>
    </row>
    <row r="938" spans="1:14" x14ac:dyDescent="0.4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18">
        <v>226.64</v>
      </c>
    </row>
    <row r="939" spans="1:14" x14ac:dyDescent="0.4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18">
        <v>597.05999999999995</v>
      </c>
    </row>
    <row r="940" spans="1:14" x14ac:dyDescent="0.4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18">
        <v>994.38</v>
      </c>
    </row>
    <row r="941" spans="1:14" x14ac:dyDescent="0.4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18">
        <v>1042.8</v>
      </c>
    </row>
    <row r="942" spans="1:14" x14ac:dyDescent="0.4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18">
        <v>1221.28</v>
      </c>
    </row>
    <row r="943" spans="1:14" x14ac:dyDescent="0.4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18">
        <v>558.5</v>
      </c>
    </row>
    <row r="944" spans="1:14" x14ac:dyDescent="0.4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18">
        <v>479.76</v>
      </c>
    </row>
    <row r="945" spans="1:14" x14ac:dyDescent="0.4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18">
        <v>580.47</v>
      </c>
    </row>
    <row r="946" spans="1:14" x14ac:dyDescent="0.4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18">
        <v>852.44</v>
      </c>
    </row>
    <row r="947" spans="1:14" x14ac:dyDescent="0.4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18">
        <v>1382.2</v>
      </c>
    </row>
    <row r="948" spans="1:14" x14ac:dyDescent="0.4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18">
        <v>809.92</v>
      </c>
    </row>
    <row r="949" spans="1:14" x14ac:dyDescent="0.4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18">
        <v>1862.64</v>
      </c>
    </row>
    <row r="950" spans="1:14" x14ac:dyDescent="0.4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18">
        <v>1188.1400000000001</v>
      </c>
    </row>
    <row r="951" spans="1:14" x14ac:dyDescent="0.4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18">
        <v>551.9</v>
      </c>
    </row>
    <row r="952" spans="1:14" x14ac:dyDescent="0.4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18">
        <v>596.24</v>
      </c>
    </row>
    <row r="953" spans="1:14" x14ac:dyDescent="0.4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18">
        <v>612.48</v>
      </c>
    </row>
    <row r="954" spans="1:14" x14ac:dyDescent="0.4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18">
        <v>1510.17</v>
      </c>
    </row>
    <row r="955" spans="1:14" x14ac:dyDescent="0.4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18">
        <v>131.61000000000001</v>
      </c>
    </row>
    <row r="956" spans="1:14" x14ac:dyDescent="0.4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18">
        <v>1330.32</v>
      </c>
    </row>
    <row r="957" spans="1:14" x14ac:dyDescent="0.4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18">
        <v>408.13</v>
      </c>
    </row>
    <row r="958" spans="1:14" x14ac:dyDescent="0.4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18">
        <v>321.95999999999998</v>
      </c>
    </row>
    <row r="959" spans="1:14" x14ac:dyDescent="0.4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18">
        <v>3219.45</v>
      </c>
    </row>
    <row r="960" spans="1:14" x14ac:dyDescent="0.4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18">
        <v>475.98</v>
      </c>
    </row>
    <row r="961" spans="1:14" x14ac:dyDescent="0.4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18">
        <v>287.64</v>
      </c>
    </row>
    <row r="962" spans="1:14" x14ac:dyDescent="0.4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18">
        <v>1137.21</v>
      </c>
    </row>
    <row r="963" spans="1:14" x14ac:dyDescent="0.4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18">
        <v>601.36</v>
      </c>
    </row>
    <row r="964" spans="1:14" x14ac:dyDescent="0.4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18">
        <v>284.16000000000003</v>
      </c>
    </row>
    <row r="965" spans="1:14" x14ac:dyDescent="0.4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18">
        <v>2651.7</v>
      </c>
    </row>
    <row r="966" spans="1:14" x14ac:dyDescent="0.4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18">
        <v>1822.1</v>
      </c>
    </row>
    <row r="967" spans="1:14" x14ac:dyDescent="0.4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18">
        <v>2313.12</v>
      </c>
    </row>
    <row r="968" spans="1:14" x14ac:dyDescent="0.4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18">
        <v>1402.6</v>
      </c>
    </row>
    <row r="969" spans="1:14" x14ac:dyDescent="0.4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18">
        <v>3194.6</v>
      </c>
    </row>
    <row r="970" spans="1:14" x14ac:dyDescent="0.4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18">
        <v>1648.8</v>
      </c>
    </row>
    <row r="971" spans="1:14" x14ac:dyDescent="0.4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18">
        <v>440.34</v>
      </c>
    </row>
    <row r="972" spans="1:14" x14ac:dyDescent="0.4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18">
        <v>627.15</v>
      </c>
    </row>
    <row r="973" spans="1:14" x14ac:dyDescent="0.4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18">
        <v>1210.52</v>
      </c>
    </row>
    <row r="974" spans="1:14" x14ac:dyDescent="0.4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18">
        <v>90.27</v>
      </c>
    </row>
    <row r="975" spans="1:14" x14ac:dyDescent="0.4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18">
        <v>1153.8499999999999</v>
      </c>
    </row>
    <row r="976" spans="1:14" x14ac:dyDescent="0.4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18">
        <v>1333.9</v>
      </c>
    </row>
    <row r="977" spans="1:14" x14ac:dyDescent="0.4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18">
        <v>105.92</v>
      </c>
    </row>
    <row r="978" spans="1:14" x14ac:dyDescent="0.4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18">
        <v>1767.9</v>
      </c>
    </row>
    <row r="979" spans="1:14" x14ac:dyDescent="0.4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18">
        <v>2597.88</v>
      </c>
    </row>
    <row r="980" spans="1:14" x14ac:dyDescent="0.4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18">
        <v>429.96</v>
      </c>
    </row>
    <row r="981" spans="1:14" x14ac:dyDescent="0.4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18">
        <v>2007.18</v>
      </c>
    </row>
    <row r="982" spans="1:14" x14ac:dyDescent="0.4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18">
        <v>208.95</v>
      </c>
    </row>
    <row r="983" spans="1:14" x14ac:dyDescent="0.4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18">
        <v>547.32000000000005</v>
      </c>
    </row>
    <row r="984" spans="1:14" x14ac:dyDescent="0.4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18">
        <v>304.11</v>
      </c>
    </row>
    <row r="985" spans="1:14" x14ac:dyDescent="0.4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18">
        <v>1185.1199999999999</v>
      </c>
    </row>
    <row r="986" spans="1:14" x14ac:dyDescent="0.4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18">
        <v>77.64</v>
      </c>
    </row>
    <row r="987" spans="1:14" x14ac:dyDescent="0.4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18">
        <v>243.71</v>
      </c>
    </row>
    <row r="988" spans="1:14" x14ac:dyDescent="0.4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18">
        <v>2579.84</v>
      </c>
    </row>
    <row r="989" spans="1:14" x14ac:dyDescent="0.4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18">
        <v>1418.65</v>
      </c>
    </row>
    <row r="990" spans="1:14" x14ac:dyDescent="0.4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18">
        <v>1259.1199999999999</v>
      </c>
    </row>
    <row r="991" spans="1:14" x14ac:dyDescent="0.4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18">
        <v>984.44</v>
      </c>
    </row>
    <row r="992" spans="1:14" x14ac:dyDescent="0.4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18">
        <v>836.52</v>
      </c>
    </row>
    <row r="993" spans="1:14" x14ac:dyDescent="0.4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18">
        <v>635.9</v>
      </c>
    </row>
    <row r="994" spans="1:14" x14ac:dyDescent="0.4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18">
        <v>1758.63</v>
      </c>
    </row>
    <row r="995" spans="1:14" x14ac:dyDescent="0.4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18">
        <v>802.35</v>
      </c>
    </row>
    <row r="996" spans="1:14" x14ac:dyDescent="0.4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18">
        <v>2462.6</v>
      </c>
    </row>
    <row r="997" spans="1:14" x14ac:dyDescent="0.4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18">
        <v>226.58</v>
      </c>
    </row>
    <row r="998" spans="1:14" x14ac:dyDescent="0.4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18">
        <v>1895.44</v>
      </c>
    </row>
    <row r="999" spans="1:14" x14ac:dyDescent="0.4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18">
        <v>1334.25</v>
      </c>
    </row>
    <row r="1000" spans="1:14" x14ac:dyDescent="0.4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18">
        <v>367.34</v>
      </c>
    </row>
    <row r="1001" spans="1:14" x14ac:dyDescent="0.4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18">
        <v>483.38</v>
      </c>
    </row>
    <row r="1002" spans="1:14" x14ac:dyDescent="0.4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18">
        <v>1304.6500000000001</v>
      </c>
    </row>
    <row r="1003" spans="1:14" x14ac:dyDescent="0.4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18">
        <v>507.36</v>
      </c>
    </row>
    <row r="1004" spans="1:14" x14ac:dyDescent="0.4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18">
        <v>2799.52</v>
      </c>
    </row>
    <row r="1005" spans="1:14" x14ac:dyDescent="0.4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18">
        <v>1599.85</v>
      </c>
    </row>
    <row r="1006" spans="1:14" x14ac:dyDescent="0.4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18">
        <v>987.64</v>
      </c>
    </row>
    <row r="1007" spans="1:14" x14ac:dyDescent="0.4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18">
        <v>1178.55</v>
      </c>
    </row>
    <row r="1008" spans="1:14" x14ac:dyDescent="0.4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18">
        <v>2104.9</v>
      </c>
    </row>
    <row r="1009" spans="1:14" x14ac:dyDescent="0.4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18">
        <v>146.52000000000001</v>
      </c>
    </row>
    <row r="1010" spans="1:14" x14ac:dyDescent="0.4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18">
        <v>1232.6400000000001</v>
      </c>
    </row>
    <row r="1011" spans="1:14" x14ac:dyDescent="0.4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18">
        <v>352.92</v>
      </c>
    </row>
    <row r="1012" spans="1:14" x14ac:dyDescent="0.4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18">
        <v>1978.71</v>
      </c>
    </row>
    <row r="1013" spans="1:14" x14ac:dyDescent="0.4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18">
        <v>956.72</v>
      </c>
    </row>
    <row r="1014" spans="1:14" x14ac:dyDescent="0.4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18">
        <v>120.2</v>
      </c>
    </row>
    <row r="1015" spans="1:14" x14ac:dyDescent="0.4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18">
        <v>1202.24</v>
      </c>
    </row>
    <row r="1016" spans="1:14" x14ac:dyDescent="0.4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18">
        <v>1132.25</v>
      </c>
    </row>
    <row r="1017" spans="1:14" x14ac:dyDescent="0.4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18">
        <v>698.8</v>
      </c>
    </row>
    <row r="1018" spans="1:14" x14ac:dyDescent="0.4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18">
        <v>1343.9</v>
      </c>
    </row>
    <row r="1019" spans="1:14" x14ac:dyDescent="0.4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18">
        <v>1361.7</v>
      </c>
    </row>
    <row r="1020" spans="1:14" x14ac:dyDescent="0.4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18">
        <v>547.44000000000005</v>
      </c>
    </row>
    <row r="1021" spans="1:14" x14ac:dyDescent="0.4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18">
        <v>277.08999999999997</v>
      </c>
    </row>
    <row r="1022" spans="1:14" x14ac:dyDescent="0.4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18">
        <v>53</v>
      </c>
    </row>
    <row r="1023" spans="1:14" x14ac:dyDescent="0.4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18">
        <v>945.81</v>
      </c>
    </row>
    <row r="1024" spans="1:14" x14ac:dyDescent="0.4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18">
        <v>1352.94</v>
      </c>
    </row>
    <row r="1025" spans="1:14" x14ac:dyDescent="0.4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18">
        <v>1168.3499999999999</v>
      </c>
    </row>
    <row r="1026" spans="1:14" x14ac:dyDescent="0.4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18">
        <v>1103.25</v>
      </c>
    </row>
    <row r="1027" spans="1:14" x14ac:dyDescent="0.4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18">
        <v>23.53</v>
      </c>
    </row>
    <row r="1028" spans="1:14" x14ac:dyDescent="0.4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18">
        <v>677.48</v>
      </c>
    </row>
    <row r="1029" spans="1:14" x14ac:dyDescent="0.4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18">
        <v>2219.3200000000002</v>
      </c>
    </row>
    <row r="1030" spans="1:14" x14ac:dyDescent="0.4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18">
        <v>1761.24</v>
      </c>
    </row>
    <row r="1031" spans="1:14" x14ac:dyDescent="0.4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18">
        <v>87.06</v>
      </c>
    </row>
    <row r="1032" spans="1:14" x14ac:dyDescent="0.4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18">
        <v>981.12</v>
      </c>
    </row>
    <row r="1033" spans="1:14" x14ac:dyDescent="0.4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18">
        <v>3322.55</v>
      </c>
    </row>
    <row r="1034" spans="1:14" x14ac:dyDescent="0.4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18">
        <v>618.67999999999995</v>
      </c>
    </row>
    <row r="1035" spans="1:14" x14ac:dyDescent="0.4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18">
        <v>370.85</v>
      </c>
    </row>
    <row r="1036" spans="1:14" x14ac:dyDescent="0.4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18">
        <v>2071.92</v>
      </c>
    </row>
    <row r="1037" spans="1:14" x14ac:dyDescent="0.4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18">
        <v>2024.44</v>
      </c>
    </row>
    <row r="1038" spans="1:14" x14ac:dyDescent="0.4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18">
        <v>1241.49</v>
      </c>
    </row>
    <row r="1039" spans="1:14" x14ac:dyDescent="0.4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18">
        <v>249.81</v>
      </c>
    </row>
    <row r="1040" spans="1:14" x14ac:dyDescent="0.4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18">
        <v>1087.5899999999999</v>
      </c>
    </row>
    <row r="1041" spans="1:14" x14ac:dyDescent="0.4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18">
        <v>598.46</v>
      </c>
    </row>
    <row r="1042" spans="1:14" x14ac:dyDescent="0.4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18">
        <v>536.07000000000005</v>
      </c>
    </row>
    <row r="1043" spans="1:14" x14ac:dyDescent="0.4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18">
        <v>2235.6</v>
      </c>
    </row>
    <row r="1044" spans="1:14" x14ac:dyDescent="0.4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18">
        <v>819.5</v>
      </c>
    </row>
    <row r="1045" spans="1:14" x14ac:dyDescent="0.4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18">
        <v>359.92</v>
      </c>
    </row>
    <row r="1046" spans="1:14" x14ac:dyDescent="0.4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18">
        <v>38.49</v>
      </c>
    </row>
    <row r="1047" spans="1:14" x14ac:dyDescent="0.4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18">
        <v>1582</v>
      </c>
    </row>
    <row r="1048" spans="1:14" x14ac:dyDescent="0.4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18">
        <v>1641.45</v>
      </c>
    </row>
    <row r="1049" spans="1:14" x14ac:dyDescent="0.4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18">
        <v>2161.36</v>
      </c>
    </row>
    <row r="1050" spans="1:14" x14ac:dyDescent="0.4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18">
        <v>294.60000000000002</v>
      </c>
    </row>
    <row r="1051" spans="1:14" x14ac:dyDescent="0.4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18">
        <v>1959.3</v>
      </c>
    </row>
    <row r="1052" spans="1:14" x14ac:dyDescent="0.4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18">
        <v>348.5</v>
      </c>
    </row>
    <row r="1053" spans="1:14" x14ac:dyDescent="0.4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18">
        <v>132.15</v>
      </c>
    </row>
    <row r="1054" spans="1:14" x14ac:dyDescent="0.4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18">
        <v>531.74</v>
      </c>
    </row>
    <row r="1055" spans="1:14" x14ac:dyDescent="0.4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18">
        <v>993.24</v>
      </c>
    </row>
    <row r="1056" spans="1:14" x14ac:dyDescent="0.4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18">
        <v>660.66</v>
      </c>
    </row>
    <row r="1057" spans="1:14" x14ac:dyDescent="0.4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18">
        <v>1099.28</v>
      </c>
    </row>
    <row r="1058" spans="1:14" x14ac:dyDescent="0.4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18">
        <v>972.7</v>
      </c>
    </row>
    <row r="1059" spans="1:14" x14ac:dyDescent="0.4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18">
        <v>1286.6400000000001</v>
      </c>
    </row>
    <row r="1060" spans="1:14" x14ac:dyDescent="0.4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18">
        <v>824.28</v>
      </c>
    </row>
    <row r="1061" spans="1:14" x14ac:dyDescent="0.4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18">
        <v>265.64</v>
      </c>
    </row>
    <row r="1062" spans="1:14" x14ac:dyDescent="0.4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18">
        <v>546.86</v>
      </c>
    </row>
    <row r="1063" spans="1:14" x14ac:dyDescent="0.4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18">
        <v>658.5</v>
      </c>
    </row>
    <row r="1064" spans="1:14" x14ac:dyDescent="0.4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18">
        <v>427.6</v>
      </c>
    </row>
    <row r="1065" spans="1:14" x14ac:dyDescent="0.4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18">
        <v>641.36</v>
      </c>
    </row>
    <row r="1066" spans="1:14" x14ac:dyDescent="0.4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18">
        <v>795.24</v>
      </c>
    </row>
    <row r="1067" spans="1:14" x14ac:dyDescent="0.4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18">
        <v>3334</v>
      </c>
    </row>
    <row r="1068" spans="1:14" x14ac:dyDescent="0.4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18">
        <v>355.09</v>
      </c>
    </row>
    <row r="1069" spans="1:14" x14ac:dyDescent="0.4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18">
        <v>632.4</v>
      </c>
    </row>
    <row r="1070" spans="1:14" x14ac:dyDescent="0.4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18">
        <v>133.38999999999999</v>
      </c>
    </row>
    <row r="1071" spans="1:14" x14ac:dyDescent="0.4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18">
        <v>454.23</v>
      </c>
    </row>
    <row r="1072" spans="1:14" x14ac:dyDescent="0.4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18">
        <v>1965.16</v>
      </c>
    </row>
    <row r="1073" spans="1:14" x14ac:dyDescent="0.4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18">
        <v>510.28</v>
      </c>
    </row>
    <row r="1074" spans="1:14" x14ac:dyDescent="0.4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18">
        <v>392.61</v>
      </c>
    </row>
    <row r="1075" spans="1:14" x14ac:dyDescent="0.4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18">
        <v>1448.24</v>
      </c>
    </row>
    <row r="1076" spans="1:14" x14ac:dyDescent="0.4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18">
        <v>222.73</v>
      </c>
    </row>
    <row r="1077" spans="1:14" x14ac:dyDescent="0.4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18">
        <v>1105.26</v>
      </c>
    </row>
    <row r="1078" spans="1:14" x14ac:dyDescent="0.4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18">
        <v>2746.44</v>
      </c>
    </row>
    <row r="1079" spans="1:14" x14ac:dyDescent="0.4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18">
        <v>915.48</v>
      </c>
    </row>
    <row r="1080" spans="1:14" x14ac:dyDescent="0.4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18">
        <v>41.09</v>
      </c>
    </row>
    <row r="1081" spans="1:14" x14ac:dyDescent="0.4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18">
        <v>3170</v>
      </c>
    </row>
    <row r="1082" spans="1:14" x14ac:dyDescent="0.4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18">
        <v>2323.6999999999998</v>
      </c>
    </row>
    <row r="1083" spans="1:14" x14ac:dyDescent="0.4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18">
        <v>1702.4</v>
      </c>
    </row>
    <row r="1084" spans="1:14" x14ac:dyDescent="0.4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18">
        <v>1719.66</v>
      </c>
    </row>
    <row r="1085" spans="1:14" x14ac:dyDescent="0.4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18">
        <v>123.28</v>
      </c>
    </row>
    <row r="1086" spans="1:14" x14ac:dyDescent="0.4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18">
        <v>70.819999999999993</v>
      </c>
    </row>
    <row r="1087" spans="1:14" x14ac:dyDescent="0.4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18">
        <v>1293.3800000000001</v>
      </c>
    </row>
    <row r="1088" spans="1:14" x14ac:dyDescent="0.4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18">
        <v>1026.8399999999999</v>
      </c>
    </row>
    <row r="1089" spans="1:14" x14ac:dyDescent="0.4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18">
        <v>2772.28</v>
      </c>
    </row>
    <row r="1090" spans="1:14" x14ac:dyDescent="0.4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18">
        <v>1474.29</v>
      </c>
    </row>
    <row r="1091" spans="1:14" x14ac:dyDescent="0.4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18">
        <v>1199.48</v>
      </c>
    </row>
    <row r="1092" spans="1:14" x14ac:dyDescent="0.4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18">
        <v>1300.5</v>
      </c>
    </row>
    <row r="1093" spans="1:14" x14ac:dyDescent="0.4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18">
        <v>628.44000000000005</v>
      </c>
    </row>
    <row r="1094" spans="1:14" x14ac:dyDescent="0.4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18">
        <v>1046</v>
      </c>
    </row>
    <row r="1095" spans="1:14" x14ac:dyDescent="0.4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18">
        <v>789.44</v>
      </c>
    </row>
    <row r="1096" spans="1:14" x14ac:dyDescent="0.4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18">
        <v>2595.64</v>
      </c>
    </row>
    <row r="1097" spans="1:14" x14ac:dyDescent="0.4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18">
        <v>883.08</v>
      </c>
    </row>
    <row r="1098" spans="1:14" x14ac:dyDescent="0.4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18">
        <v>929.84</v>
      </c>
    </row>
    <row r="1099" spans="1:14" x14ac:dyDescent="0.4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18">
        <v>2532.25</v>
      </c>
    </row>
    <row r="1100" spans="1:14" x14ac:dyDescent="0.4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18">
        <v>1023.44</v>
      </c>
    </row>
    <row r="1101" spans="1:14" x14ac:dyDescent="0.4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18">
        <v>250.46</v>
      </c>
    </row>
    <row r="1102" spans="1:14" x14ac:dyDescent="0.4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18">
        <v>190.55</v>
      </c>
    </row>
    <row r="1103" spans="1:14" x14ac:dyDescent="0.4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18">
        <v>485.91</v>
      </c>
    </row>
    <row r="1104" spans="1:14" x14ac:dyDescent="0.4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18">
        <v>1388.68</v>
      </c>
    </row>
    <row r="1105" spans="1:14" x14ac:dyDescent="0.4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18">
        <v>1105.28</v>
      </c>
    </row>
    <row r="1106" spans="1:14" x14ac:dyDescent="0.4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18">
        <v>1259.04</v>
      </c>
    </row>
    <row r="1107" spans="1:14" x14ac:dyDescent="0.4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18">
        <v>1427.07</v>
      </c>
    </row>
    <row r="1108" spans="1:14" x14ac:dyDescent="0.4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18">
        <v>372.8</v>
      </c>
    </row>
    <row r="1109" spans="1:14" x14ac:dyDescent="0.4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18">
        <v>126.42</v>
      </c>
    </row>
    <row r="1110" spans="1:14" x14ac:dyDescent="0.4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18">
        <v>634.94000000000005</v>
      </c>
    </row>
    <row r="1111" spans="1:14" x14ac:dyDescent="0.4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18">
        <v>309.88</v>
      </c>
    </row>
    <row r="1112" spans="1:14" x14ac:dyDescent="0.4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18">
        <v>252.93</v>
      </c>
    </row>
    <row r="1113" spans="1:14" x14ac:dyDescent="0.4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18">
        <v>937.8</v>
      </c>
    </row>
    <row r="1114" spans="1:14" x14ac:dyDescent="0.4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18">
        <v>356.81</v>
      </c>
    </row>
    <row r="1115" spans="1:14" x14ac:dyDescent="0.4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18">
        <v>839.96</v>
      </c>
    </row>
    <row r="1116" spans="1:14" x14ac:dyDescent="0.4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18">
        <v>1979.64</v>
      </c>
    </row>
    <row r="1117" spans="1:14" x14ac:dyDescent="0.4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18">
        <v>672.64</v>
      </c>
    </row>
    <row r="1118" spans="1:14" x14ac:dyDescent="0.4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18">
        <v>1062.98</v>
      </c>
    </row>
    <row r="1119" spans="1:14" x14ac:dyDescent="0.4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18">
        <v>1765.32</v>
      </c>
    </row>
    <row r="1120" spans="1:14" x14ac:dyDescent="0.4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18">
        <v>754.44</v>
      </c>
    </row>
    <row r="1121" spans="1:14" x14ac:dyDescent="0.4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18">
        <v>684.65</v>
      </c>
    </row>
    <row r="1122" spans="1:14" x14ac:dyDescent="0.4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18">
        <v>195.86</v>
      </c>
    </row>
    <row r="1123" spans="1:14" x14ac:dyDescent="0.4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18">
        <v>151.02000000000001</v>
      </c>
    </row>
    <row r="1124" spans="1:14" x14ac:dyDescent="0.4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18">
        <v>3390.95</v>
      </c>
    </row>
    <row r="1125" spans="1:14" x14ac:dyDescent="0.4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18">
        <v>1662.75</v>
      </c>
    </row>
    <row r="1126" spans="1:14" x14ac:dyDescent="0.4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18">
        <v>2307.48</v>
      </c>
    </row>
    <row r="1127" spans="1:14" x14ac:dyDescent="0.4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18">
        <v>1633.44</v>
      </c>
    </row>
    <row r="1128" spans="1:14" x14ac:dyDescent="0.4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18">
        <v>950.55</v>
      </c>
    </row>
    <row r="1129" spans="1:14" x14ac:dyDescent="0.4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18">
        <v>1808.25</v>
      </c>
    </row>
    <row r="1130" spans="1:14" x14ac:dyDescent="0.4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18">
        <v>1940.37</v>
      </c>
    </row>
    <row r="1131" spans="1:14" x14ac:dyDescent="0.4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18">
        <v>1674.84</v>
      </c>
    </row>
    <row r="1132" spans="1:14" x14ac:dyDescent="0.4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18">
        <v>646.9</v>
      </c>
    </row>
    <row r="1133" spans="1:14" x14ac:dyDescent="0.4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18">
        <v>694.5</v>
      </c>
    </row>
    <row r="1134" spans="1:14" x14ac:dyDescent="0.4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18">
        <v>674.64</v>
      </c>
    </row>
    <row r="1135" spans="1:14" x14ac:dyDescent="0.4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18">
        <v>935.82</v>
      </c>
    </row>
    <row r="1136" spans="1:14" x14ac:dyDescent="0.4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18">
        <v>153.12</v>
      </c>
    </row>
    <row r="1137" spans="1:14" x14ac:dyDescent="0.4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18">
        <v>146.82</v>
      </c>
    </row>
    <row r="1138" spans="1:14" x14ac:dyDescent="0.4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18">
        <v>2004.99</v>
      </c>
    </row>
    <row r="1139" spans="1:14" x14ac:dyDescent="0.4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18">
        <v>1640.84</v>
      </c>
    </row>
    <row r="1140" spans="1:14" x14ac:dyDescent="0.4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18">
        <v>1177.6400000000001</v>
      </c>
    </row>
    <row r="1141" spans="1:14" x14ac:dyDescent="0.4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18">
        <v>1505.46</v>
      </c>
    </row>
    <row r="1142" spans="1:14" x14ac:dyDescent="0.4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18">
        <v>1105.6600000000001</v>
      </c>
    </row>
    <row r="1143" spans="1:14" x14ac:dyDescent="0.4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18">
        <v>1495.98</v>
      </c>
    </row>
    <row r="1144" spans="1:14" x14ac:dyDescent="0.4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18">
        <v>2780.4</v>
      </c>
    </row>
    <row r="1145" spans="1:14" x14ac:dyDescent="0.4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18">
        <v>381.61</v>
      </c>
    </row>
    <row r="1146" spans="1:14" x14ac:dyDescent="0.4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18">
        <v>2539.6999999999998</v>
      </c>
    </row>
    <row r="1147" spans="1:14" x14ac:dyDescent="0.4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18">
        <v>1714.59</v>
      </c>
    </row>
    <row r="1148" spans="1:14" x14ac:dyDescent="0.4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18">
        <v>2107.1999999999998</v>
      </c>
    </row>
    <row r="1149" spans="1:14" x14ac:dyDescent="0.4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18">
        <v>1176.5999999999999</v>
      </c>
    </row>
    <row r="1150" spans="1:14" x14ac:dyDescent="0.4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18">
        <v>355.15</v>
      </c>
    </row>
    <row r="1151" spans="1:14" x14ac:dyDescent="0.4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18">
        <v>1390.58</v>
      </c>
    </row>
    <row r="1152" spans="1:14" x14ac:dyDescent="0.4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18">
        <v>1210.5999999999999</v>
      </c>
    </row>
    <row r="1153" spans="1:14" x14ac:dyDescent="0.4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18">
        <v>1216.08</v>
      </c>
    </row>
    <row r="1154" spans="1:14" x14ac:dyDescent="0.4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18">
        <v>688.36</v>
      </c>
    </row>
    <row r="1155" spans="1:14" x14ac:dyDescent="0.4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18">
        <v>2786.84</v>
      </c>
    </row>
    <row r="1156" spans="1:14" x14ac:dyDescent="0.4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18">
        <v>595.89</v>
      </c>
    </row>
    <row r="1157" spans="1:14" x14ac:dyDescent="0.4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18">
        <v>2138.2800000000002</v>
      </c>
    </row>
    <row r="1158" spans="1:14" x14ac:dyDescent="0.4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18">
        <v>2763.12</v>
      </c>
    </row>
    <row r="1159" spans="1:14" x14ac:dyDescent="0.4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18">
        <v>904.65</v>
      </c>
    </row>
    <row r="1160" spans="1:14" x14ac:dyDescent="0.4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18">
        <v>109.68</v>
      </c>
    </row>
    <row r="1161" spans="1:14" x14ac:dyDescent="0.4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18">
        <v>1866.8</v>
      </c>
    </row>
    <row r="1162" spans="1:14" x14ac:dyDescent="0.4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18">
        <v>541.64</v>
      </c>
    </row>
    <row r="1163" spans="1:14" x14ac:dyDescent="0.4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18">
        <v>11.39</v>
      </c>
    </row>
    <row r="1164" spans="1:14" x14ac:dyDescent="0.4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18">
        <v>448.74</v>
      </c>
    </row>
    <row r="1165" spans="1:14" x14ac:dyDescent="0.4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18">
        <v>918.87</v>
      </c>
    </row>
    <row r="1166" spans="1:14" x14ac:dyDescent="0.4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18">
        <v>1577.85</v>
      </c>
    </row>
    <row r="1167" spans="1:14" x14ac:dyDescent="0.4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18">
        <v>671.37</v>
      </c>
    </row>
    <row r="1168" spans="1:14" x14ac:dyDescent="0.4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18">
        <v>973.41</v>
      </c>
    </row>
    <row r="1169" spans="1:14" x14ac:dyDescent="0.4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18">
        <v>185.74</v>
      </c>
    </row>
    <row r="1170" spans="1:14" x14ac:dyDescent="0.4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18">
        <v>662.84</v>
      </c>
    </row>
    <row r="1171" spans="1:14" x14ac:dyDescent="0.4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18">
        <v>525.42999999999995</v>
      </c>
    </row>
    <row r="1172" spans="1:14" x14ac:dyDescent="0.4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18">
        <v>1394.38</v>
      </c>
    </row>
    <row r="1173" spans="1:14" x14ac:dyDescent="0.4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18">
        <v>2073.6</v>
      </c>
    </row>
    <row r="1174" spans="1:14" x14ac:dyDescent="0.4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18">
        <v>395.88</v>
      </c>
    </row>
    <row r="1175" spans="1:14" x14ac:dyDescent="0.4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18">
        <v>208.36</v>
      </c>
    </row>
    <row r="1176" spans="1:14" x14ac:dyDescent="0.4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18">
        <v>667.02</v>
      </c>
    </row>
    <row r="1177" spans="1:14" x14ac:dyDescent="0.4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18">
        <v>275.22000000000003</v>
      </c>
    </row>
    <row r="1178" spans="1:14" x14ac:dyDescent="0.4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18">
        <v>427.66</v>
      </c>
    </row>
    <row r="1179" spans="1:14" x14ac:dyDescent="0.4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18">
        <v>127.55</v>
      </c>
    </row>
    <row r="1180" spans="1:14" x14ac:dyDescent="0.4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18">
        <v>70.239999999999995</v>
      </c>
    </row>
    <row r="1181" spans="1:14" x14ac:dyDescent="0.4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18">
        <v>2592.75</v>
      </c>
    </row>
    <row r="1182" spans="1:14" x14ac:dyDescent="0.4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18">
        <v>1193.44</v>
      </c>
    </row>
    <row r="1183" spans="1:14" x14ac:dyDescent="0.4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18">
        <v>476.22</v>
      </c>
    </row>
    <row r="1184" spans="1:14" x14ac:dyDescent="0.4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18">
        <v>840.58</v>
      </c>
    </row>
    <row r="1185" spans="1:14" x14ac:dyDescent="0.4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18">
        <v>281.52</v>
      </c>
    </row>
    <row r="1186" spans="1:14" x14ac:dyDescent="0.4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18">
        <v>204.08</v>
      </c>
    </row>
    <row r="1187" spans="1:14" x14ac:dyDescent="0.4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18">
        <v>343.31</v>
      </c>
    </row>
    <row r="1188" spans="1:14" x14ac:dyDescent="0.4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18">
        <v>163.32</v>
      </c>
    </row>
    <row r="1189" spans="1:14" x14ac:dyDescent="0.4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18">
        <v>369.2</v>
      </c>
    </row>
    <row r="1190" spans="1:14" x14ac:dyDescent="0.4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18">
        <v>742.58</v>
      </c>
    </row>
    <row r="1191" spans="1:14" x14ac:dyDescent="0.4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18">
        <v>1946.1</v>
      </c>
    </row>
    <row r="1192" spans="1:14" x14ac:dyDescent="0.4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18">
        <v>1849.17</v>
      </c>
    </row>
    <row r="1193" spans="1:14" x14ac:dyDescent="0.4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18">
        <v>1505.72</v>
      </c>
    </row>
    <row r="1194" spans="1:14" x14ac:dyDescent="0.4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18">
        <v>1298.55</v>
      </c>
    </row>
    <row r="1195" spans="1:14" x14ac:dyDescent="0.4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18">
        <v>687.89</v>
      </c>
    </row>
    <row r="1196" spans="1:14" x14ac:dyDescent="0.4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18">
        <v>568.32000000000005</v>
      </c>
    </row>
    <row r="1197" spans="1:14" x14ac:dyDescent="0.4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18">
        <v>107.04</v>
      </c>
    </row>
    <row r="1198" spans="1:14" x14ac:dyDescent="0.4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18">
        <v>1325.06</v>
      </c>
    </row>
    <row r="1199" spans="1:14" x14ac:dyDescent="0.4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18">
        <v>873.68</v>
      </c>
    </row>
    <row r="1200" spans="1:14" x14ac:dyDescent="0.4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18">
        <v>1050.08</v>
      </c>
    </row>
    <row r="1201" spans="1:14" x14ac:dyDescent="0.4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18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1"/>
  <sheetViews>
    <sheetView zoomScale="90" zoomScaleNormal="90" workbookViewId="0">
      <selection activeCell="D730" sqref="D730"/>
    </sheetView>
  </sheetViews>
  <sheetFormatPr defaultRowHeight="14.25" x14ac:dyDescent="0.45"/>
  <cols>
    <col min="1" max="1" width="12.6640625" bestFit="1" customWidth="1"/>
    <col min="2" max="2" width="10.06640625" bestFit="1" customWidth="1"/>
    <col min="3" max="3" width="15.6640625" bestFit="1" customWidth="1"/>
    <col min="4" max="4" width="12.3984375" bestFit="1" customWidth="1"/>
    <col min="5" max="5" width="13.265625" bestFit="1" customWidth="1"/>
    <col min="6" max="6" width="13.6640625" bestFit="1" customWidth="1"/>
    <col min="7" max="7" width="19.46484375" bestFit="1" customWidth="1"/>
    <col min="8" max="8" width="19.73046875" bestFit="1" customWidth="1"/>
    <col min="9" max="9" width="15.796875" bestFit="1" customWidth="1"/>
    <col min="10" max="10" width="19.46484375" bestFit="1" customWidth="1"/>
    <col min="11" max="11" width="15.46484375" bestFit="1" customWidth="1"/>
    <col min="12" max="12" width="16.265625" bestFit="1" customWidth="1"/>
    <col min="13" max="13" width="18.06640625" bestFit="1" customWidth="1"/>
    <col min="14" max="14" width="14.265625" bestFit="1" customWidth="1"/>
    <col min="16" max="16" width="15.86328125" bestFit="1" customWidth="1"/>
    <col min="17" max="17" width="12.33203125" bestFit="1" customWidth="1"/>
    <col min="19" max="19" width="15.86328125" bestFit="1" customWidth="1"/>
    <col min="20" max="20" width="12.33203125" bestFit="1" customWidth="1"/>
    <col min="22" max="22" width="15.86328125" bestFit="1" customWidth="1"/>
    <col min="23" max="23" width="13.265625" bestFit="1" customWidth="1"/>
  </cols>
  <sheetData>
    <row r="1" spans="1:2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48" t="s">
        <v>4313</v>
      </c>
      <c r="Q1" s="49"/>
      <c r="R1" s="49"/>
      <c r="S1" s="49"/>
      <c r="T1" s="49"/>
      <c r="U1" s="49"/>
      <c r="V1" s="49"/>
      <c r="W1" s="50"/>
    </row>
    <row r="2" spans="1:23" x14ac:dyDescent="0.4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 s="45" t="s">
        <v>4</v>
      </c>
      <c r="Q2" s="46"/>
      <c r="S2" s="46" t="s">
        <v>4311</v>
      </c>
      <c r="T2" s="46"/>
      <c r="V2" s="46" t="s">
        <v>4312</v>
      </c>
      <c r="W2" s="47"/>
    </row>
    <row r="3" spans="1:23" x14ac:dyDescent="0.45">
      <c r="A3" t="s">
        <v>15</v>
      </c>
      <c r="B3" s="1">
        <v>45527</v>
      </c>
      <c r="C3" t="s">
        <v>1215</v>
      </c>
      <c r="D3" t="s">
        <v>2404</v>
      </c>
      <c r="E3" s="16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 s="9"/>
      <c r="W3" s="10"/>
    </row>
    <row r="4" spans="1:23" x14ac:dyDescent="0.4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13">
        <v>2753.4</v>
      </c>
      <c r="P4" s="9" t="s">
        <v>4298</v>
      </c>
      <c r="Q4" s="4">
        <v>2.9458333333333333</v>
      </c>
      <c r="S4" t="s">
        <v>4298</v>
      </c>
      <c r="T4" s="4">
        <v>5.4850000000000003</v>
      </c>
      <c r="V4" t="s">
        <v>4298</v>
      </c>
      <c r="W4" s="14">
        <v>1053.9683000000005</v>
      </c>
    </row>
    <row r="5" spans="1:23" x14ac:dyDescent="0.4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s="9" t="s">
        <v>4299</v>
      </c>
      <c r="Q5" s="4">
        <v>4.0632673494548861E-2</v>
      </c>
      <c r="S5" t="s">
        <v>4299</v>
      </c>
      <c r="T5" s="4">
        <v>6.5875184207381227E-2</v>
      </c>
      <c r="V5" t="s">
        <v>4299</v>
      </c>
      <c r="W5" s="14">
        <v>23.667220233435412</v>
      </c>
    </row>
    <row r="6" spans="1:23" x14ac:dyDescent="0.4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s="9" t="s">
        <v>4300</v>
      </c>
      <c r="Q6">
        <v>3</v>
      </c>
      <c r="S6" t="s">
        <v>4300</v>
      </c>
      <c r="T6">
        <v>5</v>
      </c>
      <c r="V6" t="s">
        <v>4300</v>
      </c>
      <c r="W6" s="14">
        <v>823.61500000000001</v>
      </c>
    </row>
    <row r="7" spans="1:23" x14ac:dyDescent="0.4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s="9" t="s">
        <v>4301</v>
      </c>
      <c r="Q7">
        <v>1</v>
      </c>
      <c r="S7" t="s">
        <v>4301</v>
      </c>
      <c r="T7">
        <v>5</v>
      </c>
      <c r="V7" t="s">
        <v>4301</v>
      </c>
      <c r="W7" s="10">
        <v>635.90000000000009</v>
      </c>
    </row>
    <row r="8" spans="1:23" x14ac:dyDescent="0.4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 s="9" t="s">
        <v>4302</v>
      </c>
      <c r="Q8" s="4">
        <v>1.4075570987983175</v>
      </c>
      <c r="S8" t="s">
        <v>4302</v>
      </c>
      <c r="T8" s="4">
        <v>2.2819833201028645</v>
      </c>
      <c r="V8" t="s">
        <v>4302</v>
      </c>
      <c r="W8" s="14">
        <v>819.85655836464559</v>
      </c>
    </row>
    <row r="9" spans="1:23" x14ac:dyDescent="0.4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 s="9" t="s">
        <v>4303</v>
      </c>
      <c r="Q9" s="4">
        <v>1.9812169863775364</v>
      </c>
      <c r="S9" t="s">
        <v>4303</v>
      </c>
      <c r="T9" s="4">
        <v>5.2074478732276921</v>
      </c>
      <c r="V9" t="s">
        <v>4303</v>
      </c>
      <c r="W9" s="14">
        <v>672164.77629352151</v>
      </c>
    </row>
    <row r="10" spans="1:23" x14ac:dyDescent="0.4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P10" s="9" t="s">
        <v>4304</v>
      </c>
      <c r="Q10" s="4">
        <v>-1.2945958869673317</v>
      </c>
      <c r="S10" t="s">
        <v>4304</v>
      </c>
      <c r="T10" s="4">
        <v>-0.70855206479322774</v>
      </c>
      <c r="V10" t="s">
        <v>4304</v>
      </c>
      <c r="W10" s="14">
        <v>-4.0414717406669798E-2</v>
      </c>
    </row>
    <row r="11" spans="1:23" x14ac:dyDescent="0.4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P11" s="9" t="s">
        <v>4305</v>
      </c>
      <c r="Q11" s="4">
        <v>2.792231401661471E-2</v>
      </c>
      <c r="S11" t="s">
        <v>4305</v>
      </c>
      <c r="T11" s="4">
        <v>8.767998521410675E-4</v>
      </c>
      <c r="V11" t="s">
        <v>4305</v>
      </c>
      <c r="W11" s="14">
        <v>0.89135908268090325</v>
      </c>
    </row>
    <row r="12" spans="1:23" x14ac:dyDescent="0.4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P12" s="9" t="s">
        <v>4306</v>
      </c>
      <c r="Q12">
        <v>4</v>
      </c>
      <c r="S12" t="s">
        <v>4306</v>
      </c>
      <c r="T12">
        <v>9</v>
      </c>
      <c r="V12" t="s">
        <v>4306</v>
      </c>
      <c r="W12" s="14">
        <v>3445.01</v>
      </c>
    </row>
    <row r="13" spans="1:23" x14ac:dyDescent="0.4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P13" s="9" t="s">
        <v>4307</v>
      </c>
      <c r="Q13">
        <v>1</v>
      </c>
      <c r="S13" t="s">
        <v>4307</v>
      </c>
      <c r="T13">
        <v>1</v>
      </c>
      <c r="V13" t="s">
        <v>4307</v>
      </c>
      <c r="W13" s="10">
        <v>11.39</v>
      </c>
    </row>
    <row r="14" spans="1:23" x14ac:dyDescent="0.4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P14" s="9" t="s">
        <v>4308</v>
      </c>
      <c r="Q14">
        <v>5</v>
      </c>
      <c r="S14" t="s">
        <v>4308</v>
      </c>
      <c r="T14">
        <v>10</v>
      </c>
      <c r="V14" t="s">
        <v>4308</v>
      </c>
      <c r="W14" s="10">
        <v>3456.4</v>
      </c>
    </row>
    <row r="15" spans="1:23" x14ac:dyDescent="0.4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P15" s="9" t="s">
        <v>4309</v>
      </c>
      <c r="Q15">
        <v>3535</v>
      </c>
      <c r="S15" t="s">
        <v>4309</v>
      </c>
      <c r="T15">
        <v>6582</v>
      </c>
      <c r="V15" t="s">
        <v>4309</v>
      </c>
      <c r="W15" s="10">
        <v>1264761.9600000004</v>
      </c>
    </row>
    <row r="16" spans="1:23" ht="14.65" thickBot="1" x14ac:dyDescent="0.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P16" s="11" t="s">
        <v>4310</v>
      </c>
      <c r="Q16" s="8">
        <v>1200</v>
      </c>
      <c r="R16" s="8"/>
      <c r="S16" s="8" t="s">
        <v>4310</v>
      </c>
      <c r="T16" s="8">
        <v>1200</v>
      </c>
      <c r="U16" s="8"/>
      <c r="V16" s="8" t="s">
        <v>4310</v>
      </c>
      <c r="W16" s="12">
        <v>1200</v>
      </c>
    </row>
    <row r="17" spans="1:14" x14ac:dyDescent="0.4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4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4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4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4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4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4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4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4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4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4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4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4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4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4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4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4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4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4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4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4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4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4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4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4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4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4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4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4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4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4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4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4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4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4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4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4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4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4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4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4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4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4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4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4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4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4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4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4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4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4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4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4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4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4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4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4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4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4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4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4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4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4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4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4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4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4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4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4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4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4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4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4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4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4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4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4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4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4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4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4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4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4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4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4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4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4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4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4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4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4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4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4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4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4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4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4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4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4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4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4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4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4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4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4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4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4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4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4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4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4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4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4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4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4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4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4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4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4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4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4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4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4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4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4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4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4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4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4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4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4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4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4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4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4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4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4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4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4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4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4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4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4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4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4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4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4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4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4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4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4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4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4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4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4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4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4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4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4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4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4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4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4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4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4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4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4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4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4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4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4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4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4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4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4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4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4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4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4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4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4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4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4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4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4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4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4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4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4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4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4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4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4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4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4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4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4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4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4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4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4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4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4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4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4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4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4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4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4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4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4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4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4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4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4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4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4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4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4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4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4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4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4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4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4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4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4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4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4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4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4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4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4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4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4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4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4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4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4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4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4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4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4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4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4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4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4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4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4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4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4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4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4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4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4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4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4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4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4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4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4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4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4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4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4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4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4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4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4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4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4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4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4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4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4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4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4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4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4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4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4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4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4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4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4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4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4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4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4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4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4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4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4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4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4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4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4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4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4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4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4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4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4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4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4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4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4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4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4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4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4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4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4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4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4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4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4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4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4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4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4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4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4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4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4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4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4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4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4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4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4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4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4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4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4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4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4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4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4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4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4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4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4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4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4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4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4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4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4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4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4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4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4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4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4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4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4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4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4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4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4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4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4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4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4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4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4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4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4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4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4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4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4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4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4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4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4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4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4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4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4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4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4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4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4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4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4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4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4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4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4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4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4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4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4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4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4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4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4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4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4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4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4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4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4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4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4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4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4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4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4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4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4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4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4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4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4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4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4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4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4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4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4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4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4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4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4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4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4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4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4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4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4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4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4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4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4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4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4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4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4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4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4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4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4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4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4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4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4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4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4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4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4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4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4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4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4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4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4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4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4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4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4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4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4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4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4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4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4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4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4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4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4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4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4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4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4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4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4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4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4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4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4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4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4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4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4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4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4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4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4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4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4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4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4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4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4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4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4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4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4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4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4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4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4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4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4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4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4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4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4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4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4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4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4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4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4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4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4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4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4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4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4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4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4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4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4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4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4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4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4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4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4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4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4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4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4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4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4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4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4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4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4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4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4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4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4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4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4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4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4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4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4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4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4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4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4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4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4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4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4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4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4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4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4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4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4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4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4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4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4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4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4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4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4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4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4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4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4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4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4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4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4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4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4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4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4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4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4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4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4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4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4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4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4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4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4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4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4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4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4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4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4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4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4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4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4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4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4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4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4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4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4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4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4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4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4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4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4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4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4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4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4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4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4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4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4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4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4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4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4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4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4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4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4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4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4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4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4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4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4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4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4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4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4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4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4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4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4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4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4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4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4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4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4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4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4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4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4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4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4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4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4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4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4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4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4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4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4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4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4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4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4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4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4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4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4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4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4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4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4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4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4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4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4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4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4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4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4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4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4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4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4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4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4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4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4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4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4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4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4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4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4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4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4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4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4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4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4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4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4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4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4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4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4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4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4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4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4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4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4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4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4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4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4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4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4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4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4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4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4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4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4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4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4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4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4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4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4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4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4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4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4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4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4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4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4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4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4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4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4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4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4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4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4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4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4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4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4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4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4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4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4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4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4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4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4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4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4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4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4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4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4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4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4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4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4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4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4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4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4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4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4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4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4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4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4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4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4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4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4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4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4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4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4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4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4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4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4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4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4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4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4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4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4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4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4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4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4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4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4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4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4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4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4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4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4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4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4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4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4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4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4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4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4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4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4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4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4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4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4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4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4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4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4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4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4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4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4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4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4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4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4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4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4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4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4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4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4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4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4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4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4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4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4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4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4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4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4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4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4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4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4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4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4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4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4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4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4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4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4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4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4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4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4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4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4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4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4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4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4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4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4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4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4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4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4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4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4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4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4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4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4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4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4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4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4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4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4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4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4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4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4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4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4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4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4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4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4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4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4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4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4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4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4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4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4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4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4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4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4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4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4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4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4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4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4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4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4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4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4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4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4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4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4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4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4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4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4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4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4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4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4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4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4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4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4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4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4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4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4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4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4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4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4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4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4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4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4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4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4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4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4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4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4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4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4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4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4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4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4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4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4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4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4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4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4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4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4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4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4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4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4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4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4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4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4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4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4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4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4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4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4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4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4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4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4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4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4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4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4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4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4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4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4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4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4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4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4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4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4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4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4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4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4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4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4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4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4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4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4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4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4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4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4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4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4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4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4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4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4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4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4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4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4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4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4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4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4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4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4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4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4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4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4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4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4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4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4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4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4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4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4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4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4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4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4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4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4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4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4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4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4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4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4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4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4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4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4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4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4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4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4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4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4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4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4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4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4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4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4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4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4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4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4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4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4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4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4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4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4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4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4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4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4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4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4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4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4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4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4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4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4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4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4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4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4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4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4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4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4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4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4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4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4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4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4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4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4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4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4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4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4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4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4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4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4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4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4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4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4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4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4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4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4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4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4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4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4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4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4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4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4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4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4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4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4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4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4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4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4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4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4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4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4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4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4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4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4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4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4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4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4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4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4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4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4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4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4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4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4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4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4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4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4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4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4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4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4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4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4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4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4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4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4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mergeCells count="4">
    <mergeCell ref="P2:Q2"/>
    <mergeCell ref="S2:T2"/>
    <mergeCell ref="V2:W2"/>
    <mergeCell ref="P1:W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9FF9-6C95-4599-86CB-E4A4D77FC227}">
  <dimension ref="A1:D9"/>
  <sheetViews>
    <sheetView workbookViewId="0">
      <selection activeCell="D10" sqref="D10"/>
    </sheetView>
  </sheetViews>
  <sheetFormatPr defaultRowHeight="14.25" x14ac:dyDescent="0.45"/>
  <cols>
    <col min="1" max="1" width="14.3984375" customWidth="1"/>
    <col min="2" max="2" width="81.9296875" customWidth="1"/>
    <col min="3" max="3" width="79.6640625" customWidth="1"/>
    <col min="4" max="4" width="13.1328125" customWidth="1"/>
  </cols>
  <sheetData>
    <row r="1" spans="1:4" s="6" customFormat="1" x14ac:dyDescent="0.45">
      <c r="A1" s="6" t="s">
        <v>4284</v>
      </c>
      <c r="B1" s="6" t="s">
        <v>4285</v>
      </c>
      <c r="C1" s="6" t="s">
        <v>4286</v>
      </c>
      <c r="D1" s="6" t="s">
        <v>4287</v>
      </c>
    </row>
    <row r="2" spans="1:4" x14ac:dyDescent="0.45">
      <c r="A2" t="s">
        <v>4288</v>
      </c>
      <c r="B2" t="s">
        <v>4291</v>
      </c>
      <c r="C2" t="s">
        <v>4293</v>
      </c>
      <c r="D2" t="s">
        <v>4292</v>
      </c>
    </row>
    <row r="3" spans="1:4" x14ac:dyDescent="0.45">
      <c r="A3" t="s">
        <v>4289</v>
      </c>
      <c r="B3" t="s">
        <v>4296</v>
      </c>
      <c r="C3" t="s">
        <v>4297</v>
      </c>
      <c r="D3" t="s">
        <v>4292</v>
      </c>
    </row>
    <row r="4" spans="1:4" x14ac:dyDescent="0.45">
      <c r="A4" t="s">
        <v>4290</v>
      </c>
      <c r="B4" t="s">
        <v>4294</v>
      </c>
      <c r="C4" t="s">
        <v>4295</v>
      </c>
      <c r="D4" t="s">
        <v>4292</v>
      </c>
    </row>
    <row r="5" spans="1:4" x14ac:dyDescent="0.45">
      <c r="A5" t="s">
        <v>4314</v>
      </c>
      <c r="B5" t="s">
        <v>4315</v>
      </c>
      <c r="C5" t="s">
        <v>4316</v>
      </c>
      <c r="D5" t="s">
        <v>4292</v>
      </c>
    </row>
    <row r="6" spans="1:4" x14ac:dyDescent="0.45">
      <c r="A6" t="s">
        <v>4317</v>
      </c>
      <c r="B6" t="s">
        <v>4328</v>
      </c>
      <c r="C6" t="s">
        <v>4332</v>
      </c>
      <c r="D6" t="s">
        <v>4292</v>
      </c>
    </row>
    <row r="7" spans="1:4" x14ac:dyDescent="0.45">
      <c r="A7" t="s">
        <v>4318</v>
      </c>
      <c r="B7" t="s">
        <v>4359</v>
      </c>
      <c r="C7" t="s">
        <v>4333</v>
      </c>
      <c r="D7" t="s">
        <v>4292</v>
      </c>
    </row>
    <row r="8" spans="1:4" x14ac:dyDescent="0.45">
      <c r="A8" t="s">
        <v>4368</v>
      </c>
      <c r="B8" t="s">
        <v>4369</v>
      </c>
      <c r="C8" t="s">
        <v>4370</v>
      </c>
      <c r="D8" t="s">
        <v>4292</v>
      </c>
    </row>
    <row r="9" spans="1:4" x14ac:dyDescent="0.45">
      <c r="A9" t="s">
        <v>4376</v>
      </c>
      <c r="B9" t="s">
        <v>4377</v>
      </c>
      <c r="C9" t="s">
        <v>4378</v>
      </c>
      <c r="D9" t="s">
        <v>4292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EC384A9-AB1B-48FE-8804-56A4C9540CE6}">
  <ds:schemaRefs/>
</ds:datastoreItem>
</file>

<file path=customXml/itemProps2.xml><?xml version="1.0" encoding="utf-8"?>
<ds:datastoreItem xmlns:ds="http://schemas.openxmlformats.org/officeDocument/2006/customXml" ds:itemID="{DF59DD32-387A-4B08-80F3-6178A4424A09}">
  <ds:schemaRefs/>
</ds:datastoreItem>
</file>

<file path=customXml/itemProps3.xml><?xml version="1.0" encoding="utf-8"?>
<ds:datastoreItem xmlns:ds="http://schemas.openxmlformats.org/officeDocument/2006/customXml" ds:itemID="{C8BF1421-499C-4E64-9DD2-B1019F2295B7}">
  <ds:schemaRefs/>
</ds:datastoreItem>
</file>

<file path=customXml/itemProps4.xml><?xml version="1.0" encoding="utf-8"?>
<ds:datastoreItem xmlns:ds="http://schemas.openxmlformats.org/officeDocument/2006/customXml" ds:itemID="{9AC7BBA7-D8F0-4C31-98F0-59AD694AEBB0}">
  <ds:schemaRefs/>
</ds:datastoreItem>
</file>

<file path=customXml/itemProps5.xml><?xml version="1.0" encoding="utf-8"?>
<ds:datastoreItem xmlns:ds="http://schemas.openxmlformats.org/officeDocument/2006/customXml" ds:itemID="{BAC3DC2C-F900-4F30-B066-A4407A2B3AE6}">
  <ds:schemaRefs/>
</ds:datastoreItem>
</file>

<file path=customXml/itemProps6.xml><?xml version="1.0" encoding="utf-8"?>
<ds:datastoreItem xmlns:ds="http://schemas.openxmlformats.org/officeDocument/2006/customXml" ds:itemID="{85CDE0D7-52A6-44CB-B2C8-CDF6ED2A0C76}">
  <ds:schemaRefs/>
</ds:datastoreItem>
</file>

<file path=customXml/itemProps7.xml><?xml version="1.0" encoding="utf-8"?>
<ds:datastoreItem xmlns:ds="http://schemas.openxmlformats.org/officeDocument/2006/customXml" ds:itemID="{40B680E6-D8CD-433E-95C1-9D0B45CF529B}">
  <ds:schemaRefs/>
</ds:datastoreItem>
</file>

<file path=customXml/itemProps8.xml><?xml version="1.0" encoding="utf-8"?>
<ds:datastoreItem xmlns:ds="http://schemas.openxmlformats.org/officeDocument/2006/customXml" ds:itemID="{4B8AA5B6-2030-4A8C-807E-C8636ABE3D0A}">
  <ds:schemaRefs/>
</ds:datastoreItem>
</file>

<file path=customXml/itemProps9.xml><?xml version="1.0" encoding="utf-8"?>
<ds:datastoreItem xmlns:ds="http://schemas.openxmlformats.org/officeDocument/2006/customXml" ds:itemID="{35963553-ABEB-46F8-B45C-54D304616A56}">
  <ds:schemaRefs/>
</ds:datastoreItem>
</file>

<file path=customXml/itemProps10.xml><?xml version="1.0" encoding="utf-8"?>
<ds:datastoreItem xmlns:ds="http://schemas.openxmlformats.org/officeDocument/2006/customXml" ds:itemID="{67E7F0BD-9B74-4344-8E85-99C64FDDD7D4}">
  <ds:schemaRefs/>
</ds:datastoreItem>
</file>

<file path=customXml/itemProps11.xml><?xml version="1.0" encoding="utf-8"?>
<ds:datastoreItem xmlns:ds="http://schemas.openxmlformats.org/officeDocument/2006/customXml" ds:itemID="{C9825D99-1594-4A63-A6EE-1B17CBB569D0}">
  <ds:schemaRefs/>
</ds:datastoreItem>
</file>

<file path=customXml/itemProps12.xml><?xml version="1.0" encoding="utf-8"?>
<ds:datastoreItem xmlns:ds="http://schemas.openxmlformats.org/officeDocument/2006/customXml" ds:itemID="{A2FE4C0C-1E9F-4360-ADB5-8F124A5CCA02}">
  <ds:schemaRefs/>
</ds:datastoreItem>
</file>

<file path=customXml/itemProps13.xml><?xml version="1.0" encoding="utf-8"?>
<ds:datastoreItem xmlns:ds="http://schemas.openxmlformats.org/officeDocument/2006/customXml" ds:itemID="{CCF3D902-19B2-443B-BB15-E8DC76BCE1D4}">
  <ds:schemaRefs/>
</ds:datastoreItem>
</file>

<file path=customXml/itemProps14.xml><?xml version="1.0" encoding="utf-8"?>
<ds:datastoreItem xmlns:ds="http://schemas.openxmlformats.org/officeDocument/2006/customXml" ds:itemID="{5954F7D9-0149-404E-9EE4-B4550A20E5C6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50CDDECB-4BC7-4A31-BE8B-2684DB747117}">
  <ds:schemaRefs/>
</ds:datastoreItem>
</file>

<file path=customXml/itemProps16.xml><?xml version="1.0" encoding="utf-8"?>
<ds:datastoreItem xmlns:ds="http://schemas.openxmlformats.org/officeDocument/2006/customXml" ds:itemID="{8543C2BC-03D2-4177-9752-C13AABBFD8CD}">
  <ds:schemaRefs/>
</ds:datastoreItem>
</file>

<file path=customXml/itemProps17.xml><?xml version="1.0" encoding="utf-8"?>
<ds:datastoreItem xmlns:ds="http://schemas.openxmlformats.org/officeDocument/2006/customXml" ds:itemID="{12A80AFC-1A3E-4DB2-B1B5-1DD85F449B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Charts</vt:lpstr>
      <vt:lpstr>Pivot Tables</vt:lpstr>
      <vt:lpstr>Descriptive Statistics</vt:lpstr>
      <vt:lpstr>Cleaned Dataset</vt:lpstr>
      <vt:lpstr>Raw Data</vt:lpstr>
      <vt:lpstr>Action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DARLCOLLINS GEO-TECH</dc:creator>
  <cp:lastModifiedBy>DARLINGTON COSMAS</cp:lastModifiedBy>
  <dcterms:created xsi:type="dcterms:W3CDTF">2025-06-21T13:19:12Z</dcterms:created>
  <dcterms:modified xsi:type="dcterms:W3CDTF">2026-10-03T13:13:00Z</dcterms:modified>
</cp:coreProperties>
</file>